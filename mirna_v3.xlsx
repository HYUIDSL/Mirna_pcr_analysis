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Ex1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6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7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harts/chartEx18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charts/chartEx19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charts/chartEx20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RNA PROJECT/"/>
    </mc:Choice>
  </mc:AlternateContent>
  <xr:revisionPtr revIDLastSave="0" documentId="8_{E415979C-2E51-D444-86C5-AE73407C0CF0}" xr6:coauthVersionLast="47" xr6:coauthVersionMax="47" xr10:uidLastSave="{00000000-0000-0000-0000-000000000000}"/>
  <bookViews>
    <workbookView xWindow="2240" yWindow="1340" windowWidth="28800" windowHeight="16460" activeTab="1" xr2:uid="{F13460AC-B6A5-B54F-AFE9-A329F34F506E}"/>
  </bookViews>
  <sheets>
    <sheet name="샘플정보+치매지수_outlier 표시" sheetId="7" r:id="rId1"/>
    <sheet name="PCR 결과" sheetId="1" r:id="rId2"/>
    <sheet name="Sheet7" sheetId="8" r:id="rId3"/>
    <sheet name="인덱스 통계" sheetId="3" r:id="rId4"/>
    <sheet name="ANOVA" sheetId="5" r:id="rId5"/>
    <sheet name="그룹별 Ct_Dev" sheetId="2" r:id="rId6"/>
  </sheets>
  <definedNames>
    <definedName name="_xlchart.v1.0" hidden="1">Sheet7!$D$2</definedName>
    <definedName name="_xlchart.v1.1" hidden="1">Sheet7!$D$3:$D$116</definedName>
    <definedName name="_xlchart.v1.10" hidden="1">Sheet7!$I$2</definedName>
    <definedName name="_xlchart.v1.100" hidden="1">Sheet7!$W$2</definedName>
    <definedName name="_xlchart.v1.101" hidden="1">Sheet7!$W$3:$W$116</definedName>
    <definedName name="_xlchart.v1.102" hidden="1">Sheet7!$X$2</definedName>
    <definedName name="_xlchart.v1.103" hidden="1">Sheet7!$X$3:$X$116</definedName>
    <definedName name="_xlchart.v1.104" hidden="1">Sheet7!$Y$2</definedName>
    <definedName name="_xlchart.v1.105" hidden="1">Sheet7!$Y$3:$Y$116</definedName>
    <definedName name="_xlchart.v1.106" hidden="1">Sheet7!$Z$2</definedName>
    <definedName name="_xlchart.v1.107" hidden="1">Sheet7!$Z$3:$Z$116</definedName>
    <definedName name="_xlchart.v1.108" hidden="1">Sheet7!$D$2</definedName>
    <definedName name="_xlchart.v1.109" hidden="1">Sheet7!$D$3:$D$116</definedName>
    <definedName name="_xlchart.v1.11" hidden="1">Sheet7!$I$3:$I$116</definedName>
    <definedName name="_xlchart.v1.110" hidden="1">Sheet7!$E$2</definedName>
    <definedName name="_xlchart.v1.111" hidden="1">Sheet7!$E$3:$E$116</definedName>
    <definedName name="_xlchart.v1.112" hidden="1">Sheet7!$F$2</definedName>
    <definedName name="_xlchart.v1.113" hidden="1">Sheet7!$F$3:$F$116</definedName>
    <definedName name="_xlchart.v1.114" hidden="1">Sheet7!$G$2</definedName>
    <definedName name="_xlchart.v1.115" hidden="1">Sheet7!$G$3:$G$116</definedName>
    <definedName name="_xlchart.v1.116" hidden="1">Sheet7!$H$2</definedName>
    <definedName name="_xlchart.v1.117" hidden="1">Sheet7!$H$3:$H$116</definedName>
    <definedName name="_xlchart.v1.118" hidden="1">Sheet7!$I$2</definedName>
    <definedName name="_xlchart.v1.119" hidden="1">Sheet7!$I$3:$I$116</definedName>
    <definedName name="_xlchart.v1.12" hidden="1">Sheet7!$J$2</definedName>
    <definedName name="_xlchart.v1.120" hidden="1">Sheet7!$J$2</definedName>
    <definedName name="_xlchart.v1.121" hidden="1">Sheet7!$J$3:$J$116</definedName>
    <definedName name="_xlchart.v1.122" hidden="1">Sheet7!$K$2</definedName>
    <definedName name="_xlchart.v1.123" hidden="1">Sheet7!$K$3:$K$116</definedName>
    <definedName name="_xlchart.v1.124" hidden="1">Sheet7!$L$2</definedName>
    <definedName name="_xlchart.v1.125" hidden="1">Sheet7!$L$3:$L$116</definedName>
    <definedName name="_xlchart.v1.126" hidden="1">Sheet7!$AG$2</definedName>
    <definedName name="_xlchart.v1.127" hidden="1">Sheet7!$AG$3:$AG$632</definedName>
    <definedName name="_xlchart.v1.128" hidden="1">Sheet7!$AH$2</definedName>
    <definedName name="_xlchart.v1.129" hidden="1">Sheet7!$AH$2:$AH$632</definedName>
    <definedName name="_xlchart.v1.13" hidden="1">Sheet7!$J$3:$J$116</definedName>
    <definedName name="_xlchart.v1.130" hidden="1">Sheet7!$AH$3:$AH$632</definedName>
    <definedName name="_xlchart.v1.131" hidden="1">Sheet7!$AI$2</definedName>
    <definedName name="_xlchart.v1.132" hidden="1">Sheet7!$AI$2:$AI$632</definedName>
    <definedName name="_xlchart.v1.133" hidden="1">Sheet7!$AI$3:$AI$632</definedName>
    <definedName name="_xlchart.v1.134" hidden="1">Sheet7!$AJ$2:$AJ$632</definedName>
    <definedName name="_xlchart.v1.135" hidden="1">Sheet7!$AA$2</definedName>
    <definedName name="_xlchart.v1.136" hidden="1">Sheet7!$AA$3:$AA$116</definedName>
    <definedName name="_xlchart.v1.137" hidden="1">Sheet7!$AB$2</definedName>
    <definedName name="_xlchart.v1.138" hidden="1">Sheet7!$AB$3:$AB$116</definedName>
    <definedName name="_xlchart.v1.139" hidden="1">Sheet7!$AC$2</definedName>
    <definedName name="_xlchart.v1.14" hidden="1">Sheet7!$K$2</definedName>
    <definedName name="_xlchart.v1.140" hidden="1">Sheet7!$AC$2:$AC$116</definedName>
    <definedName name="_xlchart.v1.141" hidden="1">Sheet7!$AC$3:$AC$116</definedName>
    <definedName name="_xlchart.v1.142" hidden="1">Sheet7!$AD$2</definedName>
    <definedName name="_xlchart.v1.143" hidden="1">Sheet7!$AD$2:$AD$116</definedName>
    <definedName name="_xlchart.v1.144" hidden="1">Sheet7!$AD$3:$AD$116</definedName>
    <definedName name="_xlchart.v1.145" hidden="1">Sheet7!$AE$2:$AE$116</definedName>
    <definedName name="_xlchart.v1.146" hidden="1">Sheet7!$D$2</definedName>
    <definedName name="_xlchart.v1.147" hidden="1">Sheet7!$D$3:$D$116</definedName>
    <definedName name="_xlchart.v1.148" hidden="1">Sheet7!$E$2</definedName>
    <definedName name="_xlchart.v1.149" hidden="1">Sheet7!$E$3:$E$116</definedName>
    <definedName name="_xlchart.v1.15" hidden="1">Sheet7!$K$3:$K$116</definedName>
    <definedName name="_xlchart.v1.150" hidden="1">Sheet7!$F$2</definedName>
    <definedName name="_xlchart.v1.151" hidden="1">Sheet7!$F$3:$F$116</definedName>
    <definedName name="_xlchart.v1.152" hidden="1">Sheet7!$G$2</definedName>
    <definedName name="_xlchart.v1.153" hidden="1">Sheet7!$G$3:$G$116</definedName>
    <definedName name="_xlchart.v1.154" hidden="1">Sheet7!$H$2</definedName>
    <definedName name="_xlchart.v1.155" hidden="1">Sheet7!$H$3:$H$116</definedName>
    <definedName name="_xlchart.v1.156" hidden="1">Sheet7!$I$2</definedName>
    <definedName name="_xlchart.v1.157" hidden="1">Sheet7!$I$3:$I$116</definedName>
    <definedName name="_xlchart.v1.158" hidden="1">Sheet7!$J$2</definedName>
    <definedName name="_xlchart.v1.159" hidden="1">Sheet7!$J$3:$J$116</definedName>
    <definedName name="_xlchart.v1.16" hidden="1">Sheet7!$L$2</definedName>
    <definedName name="_xlchart.v1.160" hidden="1">Sheet7!$K$2</definedName>
    <definedName name="_xlchart.v1.161" hidden="1">Sheet7!$K$3:$K$116</definedName>
    <definedName name="_xlchart.v1.162" hidden="1">Sheet7!$L$2</definedName>
    <definedName name="_xlchart.v1.163" hidden="1">Sheet7!$L$3:$L$116</definedName>
    <definedName name="_xlchart.v1.164" hidden="1">Sheet7!$M$2</definedName>
    <definedName name="_xlchart.v1.165" hidden="1">Sheet7!$M$3:$M$116</definedName>
    <definedName name="_xlchart.v1.166" hidden="1">Sheet7!$N$2</definedName>
    <definedName name="_xlchart.v1.167" hidden="1">Sheet7!$N$3:$N$116</definedName>
    <definedName name="_xlchart.v1.168" hidden="1">Sheet7!$O$2</definedName>
    <definedName name="_xlchart.v1.169" hidden="1">Sheet7!$O$3:$O$116</definedName>
    <definedName name="_xlchart.v1.17" hidden="1">Sheet7!$L$3:$L$116</definedName>
    <definedName name="_xlchart.v1.170" hidden="1">Sheet7!$P$2</definedName>
    <definedName name="_xlchart.v1.171" hidden="1">Sheet7!$P$3:$P$116</definedName>
    <definedName name="_xlchart.v1.172" hidden="1">Sheet7!$Q$2</definedName>
    <definedName name="_xlchart.v1.173" hidden="1">Sheet7!$Q$3:$Q$116</definedName>
    <definedName name="_xlchart.v1.174" hidden="1">Sheet7!$R$2</definedName>
    <definedName name="_xlchart.v1.175" hidden="1">Sheet7!$R$3:$R$116</definedName>
    <definedName name="_xlchart.v1.176" hidden="1">Sheet7!$S$2</definedName>
    <definedName name="_xlchart.v1.177" hidden="1">Sheet7!$S$3:$S$116</definedName>
    <definedName name="_xlchart.v1.178" hidden="1">Sheet7!$T$2</definedName>
    <definedName name="_xlchart.v1.179" hidden="1">Sheet7!$T$3:$T$116</definedName>
    <definedName name="_xlchart.v1.18" hidden="1">Sheet7!$M$2</definedName>
    <definedName name="_xlchart.v1.180" hidden="1">Sheet7!$U$2</definedName>
    <definedName name="_xlchart.v1.181" hidden="1">Sheet7!$U$3:$U$116</definedName>
    <definedName name="_xlchart.v1.182" hidden="1">Sheet7!$V$2</definedName>
    <definedName name="_xlchart.v1.183" hidden="1">Sheet7!$V$3:$V$116</definedName>
    <definedName name="_xlchart.v1.184" hidden="1">Sheet7!$W$2</definedName>
    <definedName name="_xlchart.v1.185" hidden="1">Sheet7!$W$3:$W$116</definedName>
    <definedName name="_xlchart.v1.186" hidden="1">Sheet7!$X$2</definedName>
    <definedName name="_xlchart.v1.187" hidden="1">Sheet7!$X$3:$X$116</definedName>
    <definedName name="_xlchart.v1.188" hidden="1">Sheet7!$Y$2</definedName>
    <definedName name="_xlchart.v1.189" hidden="1">Sheet7!$Y$3:$Y$116</definedName>
    <definedName name="_xlchart.v1.19" hidden="1">Sheet7!$M$3:$M$116</definedName>
    <definedName name="_xlchart.v1.190" hidden="1">Sheet7!$Z$2</definedName>
    <definedName name="_xlchart.v1.191" hidden="1">Sheet7!$Z$3:$Z$116</definedName>
    <definedName name="_xlchart.v1.192" hidden="1">Sheet7!$D$2</definedName>
    <definedName name="_xlchart.v1.193" hidden="1">Sheet7!$D$3:$D$116</definedName>
    <definedName name="_xlchart.v1.194" hidden="1">Sheet7!$E$2</definedName>
    <definedName name="_xlchart.v1.195" hidden="1">Sheet7!$E$3:$E$116</definedName>
    <definedName name="_xlchart.v1.196" hidden="1">Sheet7!$F$2</definedName>
    <definedName name="_xlchart.v1.197" hidden="1">Sheet7!$F$3:$F$116</definedName>
    <definedName name="_xlchart.v1.198" hidden="1">Sheet7!$G$2</definedName>
    <definedName name="_xlchart.v1.199" hidden="1">Sheet7!$G$3:$G$116</definedName>
    <definedName name="_xlchart.v1.2" hidden="1">Sheet7!$E$2</definedName>
    <definedName name="_xlchart.v1.20" hidden="1">Sheet7!$N$2</definedName>
    <definedName name="_xlchart.v1.200" hidden="1">Sheet7!$H$2</definedName>
    <definedName name="_xlchart.v1.201" hidden="1">Sheet7!$H$3:$H$116</definedName>
    <definedName name="_xlchart.v1.202" hidden="1">Sheet7!$I$2</definedName>
    <definedName name="_xlchart.v1.203" hidden="1">Sheet7!$I$3:$I$116</definedName>
    <definedName name="_xlchart.v1.204" hidden="1">Sheet7!$J$2</definedName>
    <definedName name="_xlchart.v1.205" hidden="1">Sheet7!$J$3:$J$116</definedName>
    <definedName name="_xlchart.v1.206" hidden="1">Sheet7!$K$2</definedName>
    <definedName name="_xlchart.v1.207" hidden="1">Sheet7!$K$3:$K$116</definedName>
    <definedName name="_xlchart.v1.208" hidden="1">Sheet7!$L$2</definedName>
    <definedName name="_xlchart.v1.209" hidden="1">Sheet7!$L$3:$L$116</definedName>
    <definedName name="_xlchart.v1.21" hidden="1">Sheet7!$N$3:$N$116</definedName>
    <definedName name="_xlchart.v1.210" hidden="1">Sheet7!$M$2</definedName>
    <definedName name="_xlchart.v1.211" hidden="1">Sheet7!$M$3:$M$116</definedName>
    <definedName name="_xlchart.v1.212" hidden="1">Sheet7!$N$2</definedName>
    <definedName name="_xlchart.v1.213" hidden="1">Sheet7!$N$3:$N$116</definedName>
    <definedName name="_xlchart.v1.214" hidden="1">Sheet7!$O$2</definedName>
    <definedName name="_xlchart.v1.215" hidden="1">Sheet7!$O$3:$O$116</definedName>
    <definedName name="_xlchart.v1.216" hidden="1">Sheet7!$P$2</definedName>
    <definedName name="_xlchart.v1.217" hidden="1">Sheet7!$P$3:$P$116</definedName>
    <definedName name="_xlchart.v1.218" hidden="1">Sheet7!$Q$2</definedName>
    <definedName name="_xlchart.v1.219" hidden="1">Sheet7!$Q$3:$Q$116</definedName>
    <definedName name="_xlchart.v1.22" hidden="1">Sheet7!$O$2</definedName>
    <definedName name="_xlchart.v1.220" hidden="1">Sheet7!$R$2</definedName>
    <definedName name="_xlchart.v1.221" hidden="1">Sheet7!$R$3:$R$116</definedName>
    <definedName name="_xlchart.v1.222" hidden="1">Sheet7!$S$2</definedName>
    <definedName name="_xlchart.v1.223" hidden="1">Sheet7!$S$3:$S$116</definedName>
    <definedName name="_xlchart.v1.224" hidden="1">Sheet7!$T$2</definedName>
    <definedName name="_xlchart.v1.225" hidden="1">Sheet7!$T$3:$T$116</definedName>
    <definedName name="_xlchart.v1.226" hidden="1">Sheet7!$U$2</definedName>
    <definedName name="_xlchart.v1.227" hidden="1">Sheet7!$U$3:$U$116</definedName>
    <definedName name="_xlchart.v1.228" hidden="1">Sheet7!$V$2</definedName>
    <definedName name="_xlchart.v1.229" hidden="1">Sheet7!$V$3:$V$116</definedName>
    <definedName name="_xlchart.v1.23" hidden="1">Sheet7!$O$3:$O$116</definedName>
    <definedName name="_xlchart.v1.230" hidden="1">Sheet7!$W$2</definedName>
    <definedName name="_xlchart.v1.231" hidden="1">Sheet7!$W$3:$W$116</definedName>
    <definedName name="_xlchart.v1.232" hidden="1">Sheet7!$X$2</definedName>
    <definedName name="_xlchart.v1.233" hidden="1">Sheet7!$X$3:$X$116</definedName>
    <definedName name="_xlchart.v1.234" hidden="1">Sheet7!$D$2</definedName>
    <definedName name="_xlchart.v1.235" hidden="1">Sheet7!$D$3:$D$116</definedName>
    <definedName name="_xlchart.v1.236" hidden="1">Sheet7!$E$2</definedName>
    <definedName name="_xlchart.v1.237" hidden="1">Sheet7!$E$3:$E$116</definedName>
    <definedName name="_xlchart.v1.238" hidden="1">Sheet7!$F$2</definedName>
    <definedName name="_xlchart.v1.239" hidden="1">Sheet7!$F$3:$F$116</definedName>
    <definedName name="_xlchart.v1.24" hidden="1">Sheet7!$P$2</definedName>
    <definedName name="_xlchart.v1.240" hidden="1">Sheet7!$G$2</definedName>
    <definedName name="_xlchart.v1.241" hidden="1">Sheet7!$G$3:$G$116</definedName>
    <definedName name="_xlchart.v1.242" hidden="1">Sheet7!$H$2</definedName>
    <definedName name="_xlchart.v1.243" hidden="1">Sheet7!$H$3:$H$116</definedName>
    <definedName name="_xlchart.v1.244" hidden="1">Sheet7!$I$2</definedName>
    <definedName name="_xlchart.v1.245" hidden="1">Sheet7!$I$3:$I$116</definedName>
    <definedName name="_xlchart.v1.246" hidden="1">Sheet7!$D$2</definedName>
    <definedName name="_xlchart.v1.247" hidden="1">Sheet7!$D$3:$D$116</definedName>
    <definedName name="_xlchart.v1.248" hidden="1">Sheet7!$E$2</definedName>
    <definedName name="_xlchart.v1.249" hidden="1">Sheet7!$E$3:$E$116</definedName>
    <definedName name="_xlchart.v1.25" hidden="1">Sheet7!$P$3:$P$116</definedName>
    <definedName name="_xlchart.v1.250" hidden="1">Sheet7!$F$2</definedName>
    <definedName name="_xlchart.v1.251" hidden="1">Sheet7!$F$3:$F$116</definedName>
    <definedName name="_xlchart.v1.252" hidden="1">Sheet7!$G$2</definedName>
    <definedName name="_xlchart.v1.253" hidden="1">Sheet7!$G$3:$G$116</definedName>
    <definedName name="_xlchart.v1.254" hidden="1">Sheet7!$H$2</definedName>
    <definedName name="_xlchart.v1.255" hidden="1">Sheet7!$H$3:$H$116</definedName>
    <definedName name="_xlchart.v1.256" hidden="1">Sheet7!$I$2</definedName>
    <definedName name="_xlchart.v1.257" hidden="1">Sheet7!$I$3:$I$116</definedName>
    <definedName name="_xlchart.v1.258" hidden="1">Sheet7!$J$2</definedName>
    <definedName name="_xlchart.v1.259" hidden="1">Sheet7!$J$3:$J$116</definedName>
    <definedName name="_xlchart.v1.26" hidden="1">Sheet7!$Q$2</definedName>
    <definedName name="_xlchart.v1.260" hidden="1">Sheet7!$K$2</definedName>
    <definedName name="_xlchart.v1.261" hidden="1">Sheet7!$K$3:$K$116</definedName>
    <definedName name="_xlchart.v1.262" hidden="1">Sheet7!$L$2</definedName>
    <definedName name="_xlchart.v1.263" hidden="1">Sheet7!$L$3:$L$116</definedName>
    <definedName name="_xlchart.v1.264" hidden="1">Sheet7!$M$2</definedName>
    <definedName name="_xlchart.v1.265" hidden="1">Sheet7!$M$3:$M$116</definedName>
    <definedName name="_xlchart.v1.266" hidden="1">Sheet7!$N$2</definedName>
    <definedName name="_xlchart.v1.267" hidden="1">Sheet7!$N$3:$N$116</definedName>
    <definedName name="_xlchart.v1.268" hidden="1">Sheet7!$O$2</definedName>
    <definedName name="_xlchart.v1.269" hidden="1">Sheet7!$O$3:$O$116</definedName>
    <definedName name="_xlchart.v1.27" hidden="1">Sheet7!$Q$3:$Q$116</definedName>
    <definedName name="_xlchart.v1.270" hidden="1">Sheet7!$P$2</definedName>
    <definedName name="_xlchart.v1.271" hidden="1">Sheet7!$P$3:$P$116</definedName>
    <definedName name="_xlchart.v1.272" hidden="1">Sheet7!$Q$2</definedName>
    <definedName name="_xlchart.v1.273" hidden="1">Sheet7!$Q$3:$Q$116</definedName>
    <definedName name="_xlchart.v1.274" hidden="1">Sheet7!$R$2</definedName>
    <definedName name="_xlchart.v1.275" hidden="1">Sheet7!$R$3:$R$116</definedName>
    <definedName name="_xlchart.v1.276" hidden="1">Sheet7!$S$2</definedName>
    <definedName name="_xlchart.v1.277" hidden="1">Sheet7!$S$3:$S$116</definedName>
    <definedName name="_xlchart.v1.278" hidden="1">Sheet7!$T$2</definedName>
    <definedName name="_xlchart.v1.279" hidden="1">Sheet7!$T$3:$T$116</definedName>
    <definedName name="_xlchart.v1.28" hidden="1">Sheet7!$R$2</definedName>
    <definedName name="_xlchart.v1.280" hidden="1">Sheet7!$U$2</definedName>
    <definedName name="_xlchart.v1.281" hidden="1">Sheet7!$U$3:$U$116</definedName>
    <definedName name="_xlchart.v1.282" hidden="1">Sheet7!$AA$2</definedName>
    <definedName name="_xlchart.v1.283" hidden="1">Sheet7!$AA$3:$AA$116</definedName>
    <definedName name="_xlchart.v1.284" hidden="1">Sheet7!$D$2</definedName>
    <definedName name="_xlchart.v1.285" hidden="1">Sheet7!$D$3:$D$116</definedName>
    <definedName name="_xlchart.v1.286" hidden="1">Sheet7!$E$2</definedName>
    <definedName name="_xlchart.v1.287" hidden="1">Sheet7!$E$3:$E$116</definedName>
    <definedName name="_xlchart.v1.288" hidden="1">Sheet7!$F$2</definedName>
    <definedName name="_xlchart.v1.289" hidden="1">Sheet7!$F$3:$F$116</definedName>
    <definedName name="_xlchart.v1.29" hidden="1">Sheet7!$R$3:$R$116</definedName>
    <definedName name="_xlchart.v1.290" hidden="1">Sheet7!$G$2</definedName>
    <definedName name="_xlchart.v1.291" hidden="1">Sheet7!$G$3:$G$116</definedName>
    <definedName name="_xlchart.v1.292" hidden="1">Sheet7!$H$2</definedName>
    <definedName name="_xlchart.v1.293" hidden="1">Sheet7!$H$3:$H$116</definedName>
    <definedName name="_xlchart.v1.294" hidden="1">Sheet7!$I$2</definedName>
    <definedName name="_xlchart.v1.295" hidden="1">Sheet7!$I$3:$I$116</definedName>
    <definedName name="_xlchart.v1.296" hidden="1">Sheet7!$J$2</definedName>
    <definedName name="_xlchart.v1.297" hidden="1">Sheet7!$J$3:$J$116</definedName>
    <definedName name="_xlchart.v1.298" hidden="1">Sheet7!$K$2</definedName>
    <definedName name="_xlchart.v1.299" hidden="1">Sheet7!$K$3:$K$116</definedName>
    <definedName name="_xlchart.v1.3" hidden="1">Sheet7!$E$3:$E$116</definedName>
    <definedName name="_xlchart.v1.30" hidden="1">Sheet7!$D$2</definedName>
    <definedName name="_xlchart.v1.300" hidden="1">Sheet7!$L$2</definedName>
    <definedName name="_xlchart.v1.301" hidden="1">Sheet7!$L$3:$L$116</definedName>
    <definedName name="_xlchart.v1.302" hidden="1">Sheet7!$M$2</definedName>
    <definedName name="_xlchart.v1.303" hidden="1">Sheet7!$M$3:$M$116</definedName>
    <definedName name="_xlchart.v1.304" hidden="1">Sheet7!$N$2</definedName>
    <definedName name="_xlchart.v1.305" hidden="1">Sheet7!$N$3:$N$116</definedName>
    <definedName name="_xlchart.v1.306" hidden="1">Sheet7!$O$2</definedName>
    <definedName name="_xlchart.v1.307" hidden="1">Sheet7!$O$3:$O$116</definedName>
    <definedName name="_xlchart.v1.308" hidden="1">Sheet7!$P$2</definedName>
    <definedName name="_xlchart.v1.309" hidden="1">Sheet7!$P$3:$P$116</definedName>
    <definedName name="_xlchart.v1.31" hidden="1">Sheet7!$D$3:$D$116</definedName>
    <definedName name="_xlchart.v1.310" hidden="1">Sheet7!$Q$2</definedName>
    <definedName name="_xlchart.v1.311" hidden="1">Sheet7!$Q$3:$Q$116</definedName>
    <definedName name="_xlchart.v1.312" hidden="1">Sheet7!$R$2</definedName>
    <definedName name="_xlchart.v1.313" hidden="1">Sheet7!$R$3:$R$116</definedName>
    <definedName name="_xlchart.v1.314" hidden="1">Sheet7!$S$2</definedName>
    <definedName name="_xlchart.v1.315" hidden="1">Sheet7!$S$3:$S$116</definedName>
    <definedName name="_xlchart.v1.316" hidden="1">Sheet7!$T$2</definedName>
    <definedName name="_xlchart.v1.317" hidden="1">Sheet7!$T$3:$T$116</definedName>
    <definedName name="_xlchart.v1.318" hidden="1">Sheet7!$U$2</definedName>
    <definedName name="_xlchart.v1.319" hidden="1">Sheet7!$U$3:$U$116</definedName>
    <definedName name="_xlchart.v1.32" hidden="1">Sheet7!$E$2</definedName>
    <definedName name="_xlchart.v1.320" hidden="1">Sheet7!$V$2</definedName>
    <definedName name="_xlchart.v1.321" hidden="1">Sheet7!$V$3:$V$116</definedName>
    <definedName name="_xlchart.v1.322" hidden="1">Sheet7!$W$2</definedName>
    <definedName name="_xlchart.v1.323" hidden="1">Sheet7!$W$3:$W$116</definedName>
    <definedName name="_xlchart.v1.324" hidden="1">Sheet7!$X$2</definedName>
    <definedName name="_xlchart.v1.325" hidden="1">Sheet7!$X$3:$X$116</definedName>
    <definedName name="_xlchart.v1.326" hidden="1">Sheet7!$Y$2</definedName>
    <definedName name="_xlchart.v1.327" hidden="1">Sheet7!$Y$3:$Y$116</definedName>
    <definedName name="_xlchart.v1.328" hidden="1">Sheet7!$Z$2</definedName>
    <definedName name="_xlchart.v1.329" hidden="1">Sheet7!$Z$3:$Z$116</definedName>
    <definedName name="_xlchart.v1.33" hidden="1">Sheet7!$E$3:$E$116</definedName>
    <definedName name="_xlchart.v1.330" hidden="1">'인덱스 통계'!$B$1</definedName>
    <definedName name="_xlchart.v1.331" hidden="1">'인덱스 통계'!$B$2:$B$71</definedName>
    <definedName name="_xlchart.v1.332" hidden="1">'인덱스 통계'!$C$1</definedName>
    <definedName name="_xlchart.v1.333" hidden="1">'인덱스 통계'!$C$2:$C$71</definedName>
    <definedName name="_xlchart.v1.334" hidden="1">'인덱스 통계'!$D$1</definedName>
    <definedName name="_xlchart.v1.335" hidden="1">'인덱스 통계'!$D$2:$D$71</definedName>
    <definedName name="_xlchart.v1.336" hidden="1">'그룹별 Ct_Dev'!$N$2</definedName>
    <definedName name="_xlchart.v1.337" hidden="1">'그룹별 Ct_Dev'!$N$3:$N$94</definedName>
    <definedName name="_xlchart.v1.338" hidden="1">'그룹별 Ct_Dev'!$O$2</definedName>
    <definedName name="_xlchart.v1.339" hidden="1">'그룹별 Ct_Dev'!$O$3:$O$94</definedName>
    <definedName name="_xlchart.v1.34" hidden="1">Sheet7!$F$2</definedName>
    <definedName name="_xlchart.v1.340" hidden="1">'그룹별 Ct_Dev'!$P$2</definedName>
    <definedName name="_xlchart.v1.341" hidden="1">'그룹별 Ct_Dev'!$P$3:$P$94</definedName>
    <definedName name="_xlchart.v1.342" hidden="1">'그룹별 Ct_Dev'!$T$2</definedName>
    <definedName name="_xlchart.v1.343" hidden="1">'그룹별 Ct_Dev'!$T$3:$T$94</definedName>
    <definedName name="_xlchart.v1.344" hidden="1">'그룹별 Ct_Dev'!$U$2</definedName>
    <definedName name="_xlchart.v1.345" hidden="1">'그룹별 Ct_Dev'!$U$3:$U$94</definedName>
    <definedName name="_xlchart.v1.346" hidden="1">'그룹별 Ct_Dev'!$V$2</definedName>
    <definedName name="_xlchart.v1.347" hidden="1">'그룹별 Ct_Dev'!$V$3:$V$94</definedName>
    <definedName name="_xlchart.v1.348" hidden="1">'그룹별 Ct_Dev'!$W$2</definedName>
    <definedName name="_xlchart.v1.349" hidden="1">'그룹별 Ct_Dev'!$W$3:$W$94</definedName>
    <definedName name="_xlchart.v1.35" hidden="1">Sheet7!$F$3:$F$116</definedName>
    <definedName name="_xlchart.v1.350" hidden="1">'그룹별 Ct_Dev'!$X$2</definedName>
    <definedName name="_xlchart.v1.351" hidden="1">'그룹별 Ct_Dev'!$X$3:$X$94</definedName>
    <definedName name="_xlchart.v1.352" hidden="1">'그룹별 Ct_Dev'!$Y$2</definedName>
    <definedName name="_xlchart.v1.353" hidden="1">'그룹별 Ct_Dev'!$Y$3:$Y$94</definedName>
    <definedName name="_xlchart.v1.354" hidden="1">'그룹별 Ct_Dev'!$H$2</definedName>
    <definedName name="_xlchart.v1.355" hidden="1">'그룹별 Ct_Dev'!$H$3:$H$94</definedName>
    <definedName name="_xlchart.v1.356" hidden="1">'그룹별 Ct_Dev'!$I$2</definedName>
    <definedName name="_xlchart.v1.357" hidden="1">'그룹별 Ct_Dev'!$I$3:$I$94</definedName>
    <definedName name="_xlchart.v1.358" hidden="1">'그룹별 Ct_Dev'!$J$2</definedName>
    <definedName name="_xlchart.v1.359" hidden="1">'그룹별 Ct_Dev'!$J$3:$J$94</definedName>
    <definedName name="_xlchart.v1.36" hidden="1">Sheet7!$D$2</definedName>
    <definedName name="_xlchart.v1.360" hidden="1">'그룹별 Ct_Dev'!$B$2</definedName>
    <definedName name="_xlchart.v1.361" hidden="1">'그룹별 Ct_Dev'!$B$3:$B$94</definedName>
    <definedName name="_xlchart.v1.362" hidden="1">'그룹별 Ct_Dev'!$C$2</definedName>
    <definedName name="_xlchart.v1.363" hidden="1">'그룹별 Ct_Dev'!$C$3:$C$94</definedName>
    <definedName name="_xlchart.v1.364" hidden="1">'그룹별 Ct_Dev'!$D$2</definedName>
    <definedName name="_xlchart.v1.365" hidden="1">'그룹별 Ct_Dev'!$D$3:$D$94</definedName>
    <definedName name="_xlchart.v1.366" hidden="1">'그룹별 Ct_Dev'!$AA$2</definedName>
    <definedName name="_xlchart.v1.367" hidden="1">'그룹별 Ct_Dev'!$AA$3:$AA$94</definedName>
    <definedName name="_xlchart.v1.368" hidden="1">'그룹별 Ct_Dev'!$AB$2</definedName>
    <definedName name="_xlchart.v1.369" hidden="1">'그룹별 Ct_Dev'!$AB$3:$AB$94</definedName>
    <definedName name="_xlchart.v1.37" hidden="1">Sheet7!$D$3:$D$116</definedName>
    <definedName name="_xlchart.v1.370" hidden="1">'그룹별 Ct_Dev'!$Z$2</definedName>
    <definedName name="_xlchart.v1.371" hidden="1">'그룹별 Ct_Dev'!$Z$3:$Z$94</definedName>
    <definedName name="_xlchart.v1.372" hidden="1">'그룹별 Ct_Dev'!$K$2</definedName>
    <definedName name="_xlchart.v1.373" hidden="1">'그룹별 Ct_Dev'!$K$3:$K$94</definedName>
    <definedName name="_xlchart.v1.374" hidden="1">'그룹별 Ct_Dev'!$L$2</definedName>
    <definedName name="_xlchart.v1.375" hidden="1">'그룹별 Ct_Dev'!$L$3:$L$94</definedName>
    <definedName name="_xlchart.v1.376" hidden="1">'그룹별 Ct_Dev'!$M$2</definedName>
    <definedName name="_xlchart.v1.377" hidden="1">'그룹별 Ct_Dev'!$M$3:$M$94</definedName>
    <definedName name="_xlchart.v1.378" hidden="1">'그룹별 Ct_Dev'!$E$2</definedName>
    <definedName name="_xlchart.v1.379" hidden="1">'그룹별 Ct_Dev'!$E$3:$E$94</definedName>
    <definedName name="_xlchart.v1.38" hidden="1">Sheet7!$E$2</definedName>
    <definedName name="_xlchart.v1.380" hidden="1">'그룹별 Ct_Dev'!$F$2</definedName>
    <definedName name="_xlchart.v1.381" hidden="1">'그룹별 Ct_Dev'!$F$3:$F$94</definedName>
    <definedName name="_xlchart.v1.382" hidden="1">'그룹별 Ct_Dev'!$G$2</definedName>
    <definedName name="_xlchart.v1.383" hidden="1">'그룹별 Ct_Dev'!$G$3:$G$94</definedName>
    <definedName name="_xlchart.v1.384" hidden="1">'그룹별 Ct_Dev'!$Q$2</definedName>
    <definedName name="_xlchart.v1.385" hidden="1">'그룹별 Ct_Dev'!$Q$3:$Q$94</definedName>
    <definedName name="_xlchart.v1.386" hidden="1">'그룹별 Ct_Dev'!$R$2</definedName>
    <definedName name="_xlchart.v1.387" hidden="1">'그룹별 Ct_Dev'!$R$3:$R$94</definedName>
    <definedName name="_xlchart.v1.388" hidden="1">'그룹별 Ct_Dev'!$S$2</definedName>
    <definedName name="_xlchart.v1.389" hidden="1">'그룹별 Ct_Dev'!$S$3:$S$94</definedName>
    <definedName name="_xlchart.v1.39" hidden="1">Sheet7!$E$3:$E$116</definedName>
    <definedName name="_xlchart.v1.4" hidden="1">Sheet7!$F$2</definedName>
    <definedName name="_xlchart.v1.40" hidden="1">Sheet7!$F$2</definedName>
    <definedName name="_xlchart.v1.41" hidden="1">Sheet7!$F$3:$F$116</definedName>
    <definedName name="_xlchart.v1.42" hidden="1">Sheet7!$G$2</definedName>
    <definedName name="_xlchart.v1.43" hidden="1">Sheet7!$G$3:$G$116</definedName>
    <definedName name="_xlchart.v1.44" hidden="1">Sheet7!$H$2</definedName>
    <definedName name="_xlchart.v1.45" hidden="1">Sheet7!$H$3:$H$116</definedName>
    <definedName name="_xlchart.v1.46" hidden="1">Sheet7!$I$2</definedName>
    <definedName name="_xlchart.v1.47" hidden="1">Sheet7!$I$3:$I$116</definedName>
    <definedName name="_xlchart.v1.48" hidden="1">Sheet7!$J$2</definedName>
    <definedName name="_xlchart.v1.49" hidden="1">Sheet7!$J$3:$J$116</definedName>
    <definedName name="_xlchart.v1.5" hidden="1">Sheet7!$F$3:$F$116</definedName>
    <definedName name="_xlchart.v1.50" hidden="1">Sheet7!$K$2</definedName>
    <definedName name="_xlchart.v1.51" hidden="1">Sheet7!$K$3:$K$116</definedName>
    <definedName name="_xlchart.v1.52" hidden="1">Sheet7!$L$2</definedName>
    <definedName name="_xlchart.v1.53" hidden="1">Sheet7!$L$3:$L$116</definedName>
    <definedName name="_xlchart.v1.54" hidden="1">Sheet7!$M$2</definedName>
    <definedName name="_xlchart.v1.55" hidden="1">Sheet7!$M$3:$M$116</definedName>
    <definedName name="_xlchart.v1.56" hidden="1">Sheet7!$N$2</definedName>
    <definedName name="_xlchart.v1.57" hidden="1">Sheet7!$N$3:$N$116</definedName>
    <definedName name="_xlchart.v1.58" hidden="1">Sheet7!$O$2</definedName>
    <definedName name="_xlchart.v1.59" hidden="1">Sheet7!$O$3:$O$116</definedName>
    <definedName name="_xlchart.v1.6" hidden="1">Sheet7!$G$2</definedName>
    <definedName name="_xlchart.v1.60" hidden="1">Sheet7!$AA$2</definedName>
    <definedName name="_xlchart.v1.61" hidden="1">Sheet7!$AA$3:$AA$116</definedName>
    <definedName name="_xlchart.v1.62" hidden="1">Sheet7!$D$2</definedName>
    <definedName name="_xlchart.v1.63" hidden="1">Sheet7!$D$3:$D$116</definedName>
    <definedName name="_xlchart.v1.64" hidden="1">Sheet7!$E$2</definedName>
    <definedName name="_xlchart.v1.65" hidden="1">Sheet7!$E$3:$E$116</definedName>
    <definedName name="_xlchart.v1.66" hidden="1">Sheet7!$F$2</definedName>
    <definedName name="_xlchart.v1.67" hidden="1">Sheet7!$F$3:$F$116</definedName>
    <definedName name="_xlchart.v1.68" hidden="1">Sheet7!$G$2</definedName>
    <definedName name="_xlchart.v1.69" hidden="1">Sheet7!$G$3:$G$116</definedName>
    <definedName name="_xlchart.v1.7" hidden="1">Sheet7!$G$3:$G$116</definedName>
    <definedName name="_xlchart.v1.70" hidden="1">Sheet7!$H$2</definedName>
    <definedName name="_xlchart.v1.71" hidden="1">Sheet7!$H$3:$H$116</definedName>
    <definedName name="_xlchart.v1.72" hidden="1">Sheet7!$I$2</definedName>
    <definedName name="_xlchart.v1.73" hidden="1">Sheet7!$I$3:$I$116</definedName>
    <definedName name="_xlchart.v1.74" hidden="1">Sheet7!$J$2</definedName>
    <definedName name="_xlchart.v1.75" hidden="1">Sheet7!$J$3:$J$116</definedName>
    <definedName name="_xlchart.v1.76" hidden="1">Sheet7!$K$2</definedName>
    <definedName name="_xlchart.v1.77" hidden="1">Sheet7!$K$3:$K$116</definedName>
    <definedName name="_xlchart.v1.78" hidden="1">Sheet7!$L$2</definedName>
    <definedName name="_xlchart.v1.79" hidden="1">Sheet7!$L$3:$L$116</definedName>
    <definedName name="_xlchart.v1.8" hidden="1">Sheet7!$H$2</definedName>
    <definedName name="_xlchart.v1.80" hidden="1">Sheet7!$M$2</definedName>
    <definedName name="_xlchart.v1.81" hidden="1">Sheet7!$M$3:$M$116</definedName>
    <definedName name="_xlchart.v1.82" hidden="1">Sheet7!$N$2</definedName>
    <definedName name="_xlchart.v1.83" hidden="1">Sheet7!$N$3:$N$116</definedName>
    <definedName name="_xlchart.v1.84" hidden="1">Sheet7!$O$2</definedName>
    <definedName name="_xlchart.v1.85" hidden="1">Sheet7!$O$3:$O$116</definedName>
    <definedName name="_xlchart.v1.86" hidden="1">Sheet7!$P$2</definedName>
    <definedName name="_xlchart.v1.87" hidden="1">Sheet7!$P$3:$P$116</definedName>
    <definedName name="_xlchart.v1.88" hidden="1">Sheet7!$Q$2</definedName>
    <definedName name="_xlchart.v1.89" hidden="1">Sheet7!$Q$3:$Q$116</definedName>
    <definedName name="_xlchart.v1.9" hidden="1">Sheet7!$H$3:$H$116</definedName>
    <definedName name="_xlchart.v1.90" hidden="1">Sheet7!$R$2</definedName>
    <definedName name="_xlchart.v1.91" hidden="1">Sheet7!$R$3:$R$116</definedName>
    <definedName name="_xlchart.v1.92" hidden="1">Sheet7!$S$2</definedName>
    <definedName name="_xlchart.v1.93" hidden="1">Sheet7!$S$3:$S$116</definedName>
    <definedName name="_xlchart.v1.94" hidden="1">Sheet7!$T$2</definedName>
    <definedName name="_xlchart.v1.95" hidden="1">Sheet7!$T$3:$T$116</definedName>
    <definedName name="_xlchart.v1.96" hidden="1">Sheet7!$U$2</definedName>
    <definedName name="_xlchart.v1.97" hidden="1">Sheet7!$U$3:$U$116</definedName>
    <definedName name="_xlchart.v1.98" hidden="1">Sheet7!$V$2</definedName>
    <definedName name="_xlchart.v1.99" hidden="1">Sheet7!$V$3:$V$116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8" l="1"/>
  <c r="U1" i="8" s="1"/>
  <c r="Q1" i="8"/>
  <c r="R1" i="8" s="1"/>
  <c r="N1" i="8"/>
  <c r="O1" i="8" s="1"/>
  <c r="K1" i="8"/>
  <c r="L1" i="8" s="1"/>
  <c r="H1" i="8"/>
  <c r="I1" i="8" s="1"/>
  <c r="E1" i="8"/>
  <c r="F1" i="8" s="1"/>
  <c r="W1" i="8"/>
  <c r="X1" i="8" s="1"/>
  <c r="Z1" i="8"/>
  <c r="AA1" i="8" s="1"/>
  <c r="AC1" i="8"/>
  <c r="AD1" i="8" s="1"/>
  <c r="O17" i="3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T19" i="5" l="1"/>
  <c r="T20" i="5"/>
  <c r="M19" i="5"/>
  <c r="O19" i="5"/>
  <c r="Q19" i="5"/>
  <c r="S19" i="5"/>
  <c r="M20" i="5"/>
  <c r="O20" i="5"/>
  <c r="Q20" i="5"/>
  <c r="S20" i="5"/>
  <c r="L9" i="5"/>
  <c r="M9" i="5"/>
  <c r="N9" i="5"/>
  <c r="O9" i="5"/>
  <c r="P9" i="5"/>
  <c r="Q9" i="5"/>
  <c r="R9" i="5"/>
  <c r="S9" i="5"/>
  <c r="K9" i="5"/>
  <c r="K13" i="5"/>
  <c r="L13" i="5"/>
  <c r="M13" i="5"/>
  <c r="N13" i="5"/>
  <c r="O13" i="5"/>
  <c r="P13" i="5"/>
  <c r="Q13" i="5"/>
  <c r="R13" i="5"/>
  <c r="S13" i="5"/>
  <c r="K14" i="5"/>
  <c r="L14" i="5"/>
  <c r="M14" i="5"/>
  <c r="N14" i="5"/>
  <c r="O14" i="5"/>
  <c r="P14" i="5"/>
  <c r="Q14" i="5"/>
  <c r="R14" i="5"/>
  <c r="S14" i="5"/>
  <c r="L12" i="5"/>
  <c r="M12" i="5"/>
  <c r="N12" i="5"/>
  <c r="O12" i="5"/>
  <c r="P12" i="5"/>
  <c r="Q12" i="5"/>
  <c r="R12" i="5"/>
  <c r="S12" i="5"/>
  <c r="K12" i="5"/>
  <c r="S8" i="5"/>
  <c r="R8" i="5"/>
  <c r="Q8" i="5"/>
  <c r="P8" i="5"/>
  <c r="O8" i="5"/>
  <c r="N8" i="5"/>
  <c r="M8" i="5"/>
  <c r="L8" i="5"/>
  <c r="K8" i="5"/>
  <c r="K6" i="5"/>
  <c r="L6" i="5"/>
  <c r="M6" i="5"/>
  <c r="N6" i="5"/>
  <c r="O6" i="5"/>
  <c r="P6" i="5"/>
  <c r="Q6" i="5"/>
  <c r="R6" i="5"/>
  <c r="S6" i="5"/>
  <c r="K7" i="5"/>
  <c r="L7" i="5"/>
  <c r="M7" i="5"/>
  <c r="N7" i="5"/>
  <c r="O7" i="5"/>
  <c r="P7" i="5"/>
  <c r="Q7" i="5"/>
  <c r="R7" i="5"/>
  <c r="S7" i="5"/>
  <c r="S5" i="5"/>
  <c r="R5" i="5"/>
  <c r="Q5" i="5"/>
  <c r="P5" i="5"/>
  <c r="O5" i="5"/>
  <c r="N5" i="5"/>
  <c r="M5" i="5"/>
  <c r="L5" i="5"/>
  <c r="K5" i="5"/>
</calcChain>
</file>

<file path=xl/sharedStrings.xml><?xml version="1.0" encoding="utf-8"?>
<sst xmlns="http://schemas.openxmlformats.org/spreadsheetml/2006/main" count="2316" uniqueCount="610">
  <si>
    <t>질환</t>
    <phoneticPr fontId="2" type="noConversion"/>
  </si>
  <si>
    <t>나이</t>
    <phoneticPr fontId="2" type="noConversion"/>
  </si>
  <si>
    <t>성별</t>
    <phoneticPr fontId="2" type="noConversion"/>
  </si>
  <si>
    <t>SYNJ1(99)</t>
    <phoneticPr fontId="2" type="noConversion"/>
  </si>
  <si>
    <t>miR-25-3p</t>
    <phoneticPr fontId="2" type="noConversion"/>
  </si>
  <si>
    <t>HOOK3(94)</t>
    <phoneticPr fontId="2" type="noConversion"/>
  </si>
  <si>
    <t>gene MAP1A</t>
    <phoneticPr fontId="2" type="noConversion"/>
  </si>
  <si>
    <t>gene SHANK1</t>
    <phoneticPr fontId="2" type="noConversion"/>
  </si>
  <si>
    <t>Aibiotics_6</t>
    <phoneticPr fontId="2" type="noConversion"/>
  </si>
  <si>
    <t>Aibiotics_7</t>
    <phoneticPr fontId="2" type="noConversion"/>
  </si>
  <si>
    <t>Aibiotics_8</t>
    <phoneticPr fontId="2" type="noConversion"/>
  </si>
  <si>
    <t>Aibiotics_10</t>
    <phoneticPr fontId="2" type="noConversion"/>
  </si>
  <si>
    <t>Aibiotics_11</t>
    <phoneticPr fontId="2" type="noConversion"/>
  </si>
  <si>
    <t>CTL</t>
    <phoneticPr fontId="2" type="noConversion"/>
  </si>
  <si>
    <t>남</t>
    <phoneticPr fontId="2" type="noConversion"/>
  </si>
  <si>
    <t>여</t>
    <phoneticPr fontId="2" type="noConversion"/>
  </si>
  <si>
    <t>AD</t>
    <phoneticPr fontId="2" type="noConversion"/>
  </si>
  <si>
    <t>D(MCI)</t>
  </si>
  <si>
    <t>남</t>
  </si>
  <si>
    <t>D(SCD)</t>
  </si>
  <si>
    <t>여</t>
  </si>
  <si>
    <t>AD</t>
  </si>
  <si>
    <t>F</t>
  </si>
  <si>
    <t>M</t>
  </si>
  <si>
    <t>CTL</t>
  </si>
  <si>
    <t>68</t>
  </si>
  <si>
    <t>61</t>
  </si>
  <si>
    <t>MCI</t>
  </si>
  <si>
    <t>75</t>
  </si>
  <si>
    <t>71</t>
  </si>
  <si>
    <t>59</t>
  </si>
  <si>
    <t>76</t>
  </si>
  <si>
    <t>73</t>
  </si>
  <si>
    <t>66</t>
  </si>
  <si>
    <t>SYNJ1_Dev</t>
    <phoneticPr fontId="2" type="noConversion"/>
  </si>
  <si>
    <t>HOOK3_Dev</t>
    <phoneticPr fontId="2" type="noConversion"/>
  </si>
  <si>
    <t>MAP1A_Dev</t>
    <phoneticPr fontId="2" type="noConversion"/>
  </si>
  <si>
    <t>SHANK1_Dev</t>
    <phoneticPr fontId="2" type="noConversion"/>
  </si>
  <si>
    <t>Aib6_Dev</t>
    <phoneticPr fontId="2" type="noConversion"/>
  </si>
  <si>
    <t>Aib7_Dev</t>
  </si>
  <si>
    <t>Aib8_Dev</t>
  </si>
  <si>
    <t>Aib10_Dev</t>
    <phoneticPr fontId="2" type="noConversion"/>
  </si>
  <si>
    <t>Aib11_Dev</t>
    <phoneticPr fontId="2" type="noConversion"/>
  </si>
  <si>
    <t>Ctrl</t>
    <phoneticPr fontId="2" type="noConversion"/>
  </si>
  <si>
    <t>MCI</t>
    <phoneticPr fontId="2" type="noConversion"/>
  </si>
  <si>
    <t>Dementia_Index</t>
  </si>
  <si>
    <t>Anova: Single Factor</t>
  </si>
  <si>
    <t>SUMMARY</t>
  </si>
  <si>
    <t>Groups</t>
  </si>
  <si>
    <t>Count</t>
  </si>
  <si>
    <t>Sum</t>
  </si>
  <si>
    <t>Average</t>
  </si>
  <si>
    <t>Variance</t>
  </si>
  <si>
    <t>Ctrl</t>
  </si>
  <si>
    <t>ANOVA</t>
  </si>
  <si>
    <t>Source of Variation</t>
  </si>
  <si>
    <t>SS</t>
  </si>
  <si>
    <t>df</t>
  </si>
  <si>
    <t>MS</t>
  </si>
  <si>
    <t>P-value</t>
  </si>
  <si>
    <t>F crit</t>
  </si>
  <si>
    <t>Between Groups</t>
  </si>
  <si>
    <t>Within Groups</t>
  </si>
  <si>
    <t>Total</t>
  </si>
  <si>
    <t>SYNJ1</t>
    <phoneticPr fontId="2" type="noConversion"/>
  </si>
  <si>
    <t>Hook3</t>
    <phoneticPr fontId="2" type="noConversion"/>
  </si>
  <si>
    <t>MApiA</t>
    <phoneticPr fontId="2" type="noConversion"/>
  </si>
  <si>
    <t>Shank1</t>
    <phoneticPr fontId="2" type="noConversion"/>
  </si>
  <si>
    <t>AIB6</t>
    <phoneticPr fontId="2" type="noConversion"/>
  </si>
  <si>
    <t>AIB7</t>
    <phoneticPr fontId="2" type="noConversion"/>
  </si>
  <si>
    <t>AIB8</t>
    <phoneticPr fontId="2" type="noConversion"/>
  </si>
  <si>
    <t>AIB10</t>
  </si>
  <si>
    <t>AIB10</t>
    <phoneticPr fontId="2" type="noConversion"/>
  </si>
  <si>
    <t>AIB11</t>
  </si>
  <si>
    <t>AIB11</t>
    <phoneticPr fontId="2" type="noConversion"/>
  </si>
  <si>
    <t>임상 정보</t>
    <phoneticPr fontId="2" type="noConversion"/>
  </si>
  <si>
    <t>추출 정보</t>
    <phoneticPr fontId="2" type="noConversion"/>
  </si>
  <si>
    <t>PCR Data</t>
    <phoneticPr fontId="2" type="noConversion"/>
  </si>
  <si>
    <t>Ct 편차 Data</t>
    <phoneticPr fontId="2" type="noConversion"/>
  </si>
  <si>
    <t>수령날짜</t>
  </si>
  <si>
    <t>누리바이오번호</t>
  </si>
  <si>
    <t>No.</t>
  </si>
  <si>
    <t>경상대 넘버링</t>
  </si>
  <si>
    <t>경상대 코드</t>
  </si>
  <si>
    <t>이름</t>
  </si>
  <si>
    <t>등록번호</t>
  </si>
  <si>
    <t>AIB 번호</t>
  </si>
  <si>
    <t>질환</t>
  </si>
  <si>
    <t>나이</t>
  </si>
  <si>
    <t>성별</t>
  </si>
  <si>
    <t>MMSE (30점 만점)</t>
  </si>
  <si>
    <t>GDS</t>
  </si>
  <si>
    <t>학력 (16)</t>
  </si>
  <si>
    <t>치매index</t>
    <phoneticPr fontId="2" type="noConversion"/>
  </si>
  <si>
    <t>농도 (ng/ul)</t>
  </si>
  <si>
    <t>A260/280</t>
  </si>
  <si>
    <t>A260/230</t>
  </si>
  <si>
    <t xml:space="preserve">Vol. (㎕) </t>
  </si>
  <si>
    <t>Amount (ng)</t>
  </si>
  <si>
    <t>miR-25-3p</t>
  </si>
  <si>
    <t>BDNF</t>
    <phoneticPr fontId="2" type="noConversion"/>
  </si>
  <si>
    <t>miR-25-3p.1</t>
  </si>
  <si>
    <t>HOOK3</t>
    <phoneticPr fontId="2" type="noConversion"/>
  </si>
  <si>
    <t>miR-25-3p.2</t>
  </si>
  <si>
    <t>MAP1A</t>
    <phoneticPr fontId="2" type="noConversion"/>
  </si>
  <si>
    <t>miR-25-3p.3</t>
  </si>
  <si>
    <t>SHANK1</t>
    <phoneticPr fontId="2" type="noConversion"/>
  </si>
  <si>
    <t>miR-25-3p.4</t>
  </si>
  <si>
    <t>Aibiotics_6</t>
  </si>
  <si>
    <t>miR-25-3p.5</t>
  </si>
  <si>
    <t>Aibiotics_7</t>
  </si>
  <si>
    <t>miR-25-3p.6</t>
  </si>
  <si>
    <t>Aibiotics_8</t>
  </si>
  <si>
    <t>miR-25-3p.7</t>
  </si>
  <si>
    <t>Aibiotics_10</t>
  </si>
  <si>
    <t>miR-25-3p.8</t>
  </si>
  <si>
    <t>Aibiotics_11</t>
  </si>
  <si>
    <t>miR-25-3p.9</t>
  </si>
  <si>
    <t>SYNJ1(99)_Dev</t>
  </si>
  <si>
    <t>HOOK3(94)_Dev</t>
  </si>
  <si>
    <t xml:space="preserve"> SHANK1_Dev</t>
    <phoneticPr fontId="2" type="noConversion"/>
  </si>
  <si>
    <t>Aibiotics_6_Dev</t>
  </si>
  <si>
    <t>Aibiotics_7_Dev</t>
  </si>
  <si>
    <t>Aibiotics_8_Dev</t>
  </si>
  <si>
    <t>Aibiotics_10_Dev</t>
  </si>
  <si>
    <t>Aibiotics_11_Dev</t>
  </si>
  <si>
    <t>Group</t>
  </si>
  <si>
    <t>25.04.18</t>
  </si>
  <si>
    <t>GS-017-H</t>
  </si>
  <si>
    <t>C1</t>
  </si>
  <si>
    <t>757.5 2</t>
  </si>
  <si>
    <t>-</t>
  </si>
  <si>
    <t>GS-028-H</t>
  </si>
  <si>
    <t>C2</t>
  </si>
  <si>
    <t>575.0 3</t>
  </si>
  <si>
    <t>GS-060-H</t>
  </si>
  <si>
    <t>C3</t>
  </si>
  <si>
    <t>542.5 4</t>
  </si>
  <si>
    <t>GS-065-H</t>
  </si>
  <si>
    <t>C4</t>
  </si>
  <si>
    <t>507.5 5</t>
  </si>
  <si>
    <t>GS-114-H</t>
  </si>
  <si>
    <t>C5</t>
  </si>
  <si>
    <t>460.0 6</t>
  </si>
  <si>
    <t>25.06.23</t>
  </si>
  <si>
    <t>GS-001-H</t>
  </si>
  <si>
    <t>C6</t>
  </si>
  <si>
    <t>1050.0 7</t>
  </si>
  <si>
    <t>GS-123-H</t>
  </si>
  <si>
    <t>C7</t>
  </si>
  <si>
    <t>697.5 8</t>
  </si>
  <si>
    <t>GS-148-H</t>
  </si>
  <si>
    <t>C8</t>
  </si>
  <si>
    <t>982.5 9</t>
  </si>
  <si>
    <t>GS-191-H</t>
  </si>
  <si>
    <t>C9</t>
  </si>
  <si>
    <t>657.5 10</t>
  </si>
  <si>
    <t>GS-268-H</t>
  </si>
  <si>
    <t>C10</t>
  </si>
  <si>
    <t>752.5 11</t>
  </si>
  <si>
    <t>11040952SER02101</t>
  </si>
  <si>
    <t>조석향</t>
  </si>
  <si>
    <t>AD1</t>
  </si>
  <si>
    <t>707.5 12</t>
  </si>
  <si>
    <t>11667571SER03101</t>
  </si>
  <si>
    <t>송금숙</t>
  </si>
  <si>
    <t>AD2</t>
  </si>
  <si>
    <t>482.5 13</t>
  </si>
  <si>
    <t>11745275SER03101</t>
  </si>
  <si>
    <t>오강선</t>
  </si>
  <si>
    <t>AD3</t>
  </si>
  <si>
    <t>527.5 14</t>
  </si>
  <si>
    <t>11377117SER02101</t>
  </si>
  <si>
    <t>문필남</t>
  </si>
  <si>
    <t>AD4</t>
  </si>
  <si>
    <t>595.0 15</t>
  </si>
  <si>
    <t>11560179SER03101</t>
  </si>
  <si>
    <t>이점연</t>
  </si>
  <si>
    <t>AD5</t>
  </si>
  <si>
    <t>465.0 16</t>
  </si>
  <si>
    <t>11646152SER04101</t>
  </si>
  <si>
    <t>서정순</t>
  </si>
  <si>
    <t>AD6</t>
  </si>
  <si>
    <t>822.5 17</t>
  </si>
  <si>
    <t>11050395SER01101</t>
  </si>
  <si>
    <t>김봉금</t>
  </si>
  <si>
    <t>AD7</t>
  </si>
  <si>
    <t>920.0 18</t>
  </si>
  <si>
    <t>11658548SER03101</t>
  </si>
  <si>
    <t>신상점</t>
  </si>
  <si>
    <t>AD8</t>
  </si>
  <si>
    <t>827.5 19</t>
  </si>
  <si>
    <t>11282794SER01101</t>
  </si>
  <si>
    <t>김동순</t>
  </si>
  <si>
    <t>AD9</t>
  </si>
  <si>
    <t>1197.5 20</t>
  </si>
  <si>
    <t>11260289SER01101</t>
  </si>
  <si>
    <t>최복례</t>
  </si>
  <si>
    <t>AD10</t>
  </si>
  <si>
    <t>917.5 21</t>
  </si>
  <si>
    <t>GS-174-D</t>
  </si>
  <si>
    <t>MCI1</t>
  </si>
  <si>
    <t>682.5 22</t>
  </si>
  <si>
    <t>GS-198-P</t>
  </si>
  <si>
    <t>MCI2</t>
  </si>
  <si>
    <t>892.5 23</t>
  </si>
  <si>
    <t>GS-237-D</t>
  </si>
  <si>
    <t>MCI3</t>
  </si>
  <si>
    <t>880.0 24</t>
  </si>
  <si>
    <t>GS-239-D</t>
  </si>
  <si>
    <t>MCI4</t>
  </si>
  <si>
    <t>817.5 25</t>
  </si>
  <si>
    <t>GS-257-D</t>
  </si>
  <si>
    <t>MCI5</t>
  </si>
  <si>
    <t>25.09.08</t>
  </si>
  <si>
    <t>11201385SER02101</t>
  </si>
  <si>
    <t>AD_0004_F_SD_20200227</t>
  </si>
  <si>
    <t>AD11</t>
  </si>
  <si>
    <t>11559313SER03101</t>
  </si>
  <si>
    <t>AD_0005_F_SD_20200922</t>
  </si>
  <si>
    <t>AD12</t>
  </si>
  <si>
    <t>11371600SER03101</t>
  </si>
  <si>
    <t>AD_0006_F_SD_20190611</t>
  </si>
  <si>
    <t>AD13</t>
  </si>
  <si>
    <t>11603989SER02101</t>
  </si>
  <si>
    <t>AD_0008_F_SD_20190807</t>
  </si>
  <si>
    <t>AD14</t>
  </si>
  <si>
    <t>11204855SER02101</t>
  </si>
  <si>
    <t>AD_0012_F_SD_20201005</t>
  </si>
  <si>
    <t>AD15</t>
  </si>
  <si>
    <t>11336606SER02101</t>
  </si>
  <si>
    <t>AD_0013_F_SD_20191029</t>
  </si>
  <si>
    <t>AD16</t>
  </si>
  <si>
    <t>11635320SER02101</t>
  </si>
  <si>
    <t>AD_0014_F_SD_20210112</t>
  </si>
  <si>
    <t>AD17</t>
  </si>
  <si>
    <t>11373559SER02101</t>
  </si>
  <si>
    <t>AD_0015_F_SD_20190812</t>
  </si>
  <si>
    <t>AD18</t>
  </si>
  <si>
    <t>11070734SER03101</t>
  </si>
  <si>
    <t>AD_0017_F_SD_20190508</t>
  </si>
  <si>
    <t>AD19</t>
  </si>
  <si>
    <t>11532140SER07101</t>
  </si>
  <si>
    <t>AD_0019_F_SD_20190730</t>
  </si>
  <si>
    <t>AD20</t>
  </si>
  <si>
    <t>11359215SER03101</t>
  </si>
  <si>
    <t>AD_0020_F_SD_20190625</t>
  </si>
  <si>
    <t>AD21</t>
  </si>
  <si>
    <t>11487438SER14101</t>
  </si>
  <si>
    <t>AD_0021_F_SD_20210406</t>
  </si>
  <si>
    <t>AD22</t>
  </si>
  <si>
    <t>11269238SER03101</t>
  </si>
  <si>
    <t>AD_0023_F_SD_20190813</t>
  </si>
  <si>
    <t>AD23</t>
  </si>
  <si>
    <t>11411060SER01101</t>
  </si>
  <si>
    <t>AD_0024_F_SD_20200908</t>
  </si>
  <si>
    <t>AD24</t>
  </si>
  <si>
    <t>11368701SER02101</t>
  </si>
  <si>
    <t>AD_0026_F_SD_20201216</t>
  </si>
  <si>
    <t>AD25</t>
  </si>
  <si>
    <t>11381413SER01101</t>
  </si>
  <si>
    <t>AD_0027_F_SD_20191106</t>
  </si>
  <si>
    <t>AD26</t>
  </si>
  <si>
    <t>11770154SER02101</t>
  </si>
  <si>
    <t>AD_0029_F_SD_20190123</t>
  </si>
  <si>
    <t>AD27</t>
  </si>
  <si>
    <t>11371515SER03101</t>
  </si>
  <si>
    <t>AD_0032_F_SD_20210212</t>
  </si>
  <si>
    <t>AD28</t>
  </si>
  <si>
    <t>11525841SER05101</t>
  </si>
  <si>
    <t>AD_0033_F_SD_20201111</t>
  </si>
  <si>
    <t>AD29</t>
  </si>
  <si>
    <t>11493724SER03101</t>
  </si>
  <si>
    <t>AD_0034_F_SD_20201130</t>
  </si>
  <si>
    <t>AD30</t>
  </si>
  <si>
    <t>11300142SER03101</t>
  </si>
  <si>
    <t>AD_0037_F_SD_20201102</t>
  </si>
  <si>
    <t>AD31</t>
  </si>
  <si>
    <t>11678057SER06101</t>
  </si>
  <si>
    <t>AD_0038_F_SD_20200417</t>
  </si>
  <si>
    <t>AD32</t>
  </si>
  <si>
    <t>11135444SER01101</t>
  </si>
  <si>
    <t>AD_0039_F_SD_20200907</t>
  </si>
  <si>
    <t>AD33</t>
  </si>
  <si>
    <t>11144662SER18101</t>
  </si>
  <si>
    <t>AD_0041_F_SD_20201028</t>
  </si>
  <si>
    <t>AD34</t>
  </si>
  <si>
    <t>11794307SER01101</t>
  </si>
  <si>
    <t>AD_0043_F_SD_20200909</t>
  </si>
  <si>
    <t>AD35</t>
  </si>
  <si>
    <t>11646554SER02101</t>
  </si>
  <si>
    <t>AD_0044_F_SD_20210111</t>
  </si>
  <si>
    <t>AD36</t>
  </si>
  <si>
    <t>11526302SER13101</t>
  </si>
  <si>
    <t>AD_0045_F_SD_20191024</t>
  </si>
  <si>
    <t>AD37</t>
  </si>
  <si>
    <t>11636205SER03101</t>
  </si>
  <si>
    <t>AD_0046_F_SD_20201104</t>
  </si>
  <si>
    <t>AD38</t>
  </si>
  <si>
    <t>11300869SER01101</t>
  </si>
  <si>
    <t>AD_0047_F_SD_20201130</t>
  </si>
  <si>
    <t>AD39</t>
  </si>
  <si>
    <t>11747144SER01101</t>
  </si>
  <si>
    <t>AD_0048_F_SD_20190918</t>
  </si>
  <si>
    <t>AD40</t>
  </si>
  <si>
    <t>11679401SER01101</t>
  </si>
  <si>
    <t>AD_0049_F_SD_20201125</t>
  </si>
  <si>
    <t>AD41</t>
  </si>
  <si>
    <t>11404238SER02101</t>
  </si>
  <si>
    <t>AD_0053_F_SD_20191204</t>
  </si>
  <si>
    <t>AD42</t>
  </si>
  <si>
    <t>11315502SER01101</t>
  </si>
  <si>
    <t>AD_0055_F_SD_20200824</t>
  </si>
  <si>
    <t>AD43</t>
  </si>
  <si>
    <t>11446098SER01101</t>
  </si>
  <si>
    <t>AD_0056_F_SD_20210316</t>
  </si>
  <si>
    <t>AD44</t>
  </si>
  <si>
    <t>11498856SER01101</t>
  </si>
  <si>
    <t>AD_0060_F_SD_20200914</t>
  </si>
  <si>
    <t>AD45</t>
  </si>
  <si>
    <t>11114932SER03101</t>
  </si>
  <si>
    <t>AD_0064_F_SD_20190710</t>
  </si>
  <si>
    <t>AD46</t>
  </si>
  <si>
    <t>11415310SER01101</t>
  </si>
  <si>
    <t>AD_0070_F_SD_20200916</t>
  </si>
  <si>
    <t>AD47</t>
  </si>
  <si>
    <t>11415310SER02101</t>
  </si>
  <si>
    <t>AD_0070_F_SD_20201007</t>
  </si>
  <si>
    <t>AD48</t>
  </si>
  <si>
    <t>11137210SER01101</t>
  </si>
  <si>
    <t>AD_0071_F_SD_20210324</t>
  </si>
  <si>
    <t>AD49</t>
  </si>
  <si>
    <t>11400941SER03101</t>
  </si>
  <si>
    <t>AD_0072_F_SD_20201123</t>
  </si>
  <si>
    <t>AD50</t>
  </si>
  <si>
    <t>11400941SER02101</t>
  </si>
  <si>
    <t>AD_0072_F_SD_000000</t>
  </si>
  <si>
    <t>AD51</t>
  </si>
  <si>
    <t>11079540SER01101</t>
  </si>
  <si>
    <t>AD_0073_F_SD_20201104</t>
  </si>
  <si>
    <t>AD52</t>
  </si>
  <si>
    <t>11700684SER01101</t>
  </si>
  <si>
    <t>AD_0074_F_SD_20190306</t>
  </si>
  <si>
    <t>AD53</t>
  </si>
  <si>
    <t>11700684SER03101</t>
  </si>
  <si>
    <t>AD_0074_F_SD_000000</t>
  </si>
  <si>
    <t>AD54</t>
  </si>
  <si>
    <t>11340122SER01101</t>
  </si>
  <si>
    <t>AD_0075_F_SD_20200915</t>
  </si>
  <si>
    <t>AD55</t>
  </si>
  <si>
    <t>11340122SER02101</t>
  </si>
  <si>
    <t>AD56</t>
  </si>
  <si>
    <t>11164291SER02101</t>
  </si>
  <si>
    <t>AD_0078_F_SD_20190909</t>
  </si>
  <si>
    <t>AD57</t>
  </si>
  <si>
    <t>11164291SER04101</t>
  </si>
  <si>
    <t>AD_0078_F_SD_20190930</t>
  </si>
  <si>
    <t>AD58</t>
  </si>
  <si>
    <t>11558397SER02101</t>
  </si>
  <si>
    <t>AD_0079_F_SD_20191104</t>
  </si>
  <si>
    <t>AD59</t>
  </si>
  <si>
    <t>11157369SER01101</t>
  </si>
  <si>
    <t>AD_0080_F_SD_20201201</t>
  </si>
  <si>
    <t>AD60</t>
  </si>
  <si>
    <t>11015833SER01101</t>
  </si>
  <si>
    <t>AD_0082_F_SD_20200921</t>
  </si>
  <si>
    <t>AD61</t>
  </si>
  <si>
    <t>11574724SER01101</t>
  </si>
  <si>
    <t>AD_0083_F_SD_20201007</t>
  </si>
  <si>
    <t>AD62</t>
  </si>
  <si>
    <t>11574724SER02101</t>
  </si>
  <si>
    <t>AD63</t>
  </si>
  <si>
    <t>11566499SER10101</t>
  </si>
  <si>
    <t>AD_0084_F_SD_20200908</t>
  </si>
  <si>
    <t>AD64</t>
  </si>
  <si>
    <t>11566499SER11101</t>
  </si>
  <si>
    <t>AD65</t>
  </si>
  <si>
    <t>11210345SER02101</t>
  </si>
  <si>
    <t>AD_0085_F_SD_20201118</t>
  </si>
  <si>
    <t>AD66</t>
  </si>
  <si>
    <t>11210345SER03101</t>
  </si>
  <si>
    <t>AD67</t>
  </si>
  <si>
    <t>11269404SER01101</t>
  </si>
  <si>
    <t>AD_0087_F_SD_20191204</t>
  </si>
  <si>
    <t>AD68</t>
  </si>
  <si>
    <t>11269404SER02101</t>
  </si>
  <si>
    <t>AD_0087_F_SD_000000</t>
  </si>
  <si>
    <t>AD69</t>
  </si>
  <si>
    <t>11428253SER01101</t>
  </si>
  <si>
    <t>AD_0088_F_SD_20200907</t>
  </si>
  <si>
    <t>AD70</t>
  </si>
  <si>
    <t>11428253SER02101</t>
  </si>
  <si>
    <t>AD_0088_F_SD_20201001</t>
  </si>
  <si>
    <t>AD71</t>
  </si>
  <si>
    <t>11723059SER04101</t>
  </si>
  <si>
    <t>AD_0089_F_SD_20190701</t>
  </si>
  <si>
    <t>AD72</t>
  </si>
  <si>
    <t>11733704SER02101</t>
  </si>
  <si>
    <t>AD _0091_F_SD_20210223</t>
  </si>
  <si>
    <t>AD73</t>
  </si>
  <si>
    <t xml:space="preserve">AD </t>
  </si>
  <si>
    <t>11733704SER03101</t>
  </si>
  <si>
    <t>AD74</t>
  </si>
  <si>
    <t>11672186SER03101</t>
  </si>
  <si>
    <t>AD_0105_M_SD_20200908</t>
  </si>
  <si>
    <t>AD75</t>
  </si>
  <si>
    <t>11198512SER02101</t>
  </si>
  <si>
    <t>AD_0106_M_SD_20201020</t>
  </si>
  <si>
    <t>AD76</t>
  </si>
  <si>
    <t>11482326SER03101</t>
  </si>
  <si>
    <t>AD_0107_F_SD_20190911</t>
  </si>
  <si>
    <t>AD77</t>
  </si>
  <si>
    <t>11371241SER03101</t>
  </si>
  <si>
    <t>AD_0108_M_SD_20201124</t>
  </si>
  <si>
    <t>AD78</t>
  </si>
  <si>
    <t>11335454SER03101</t>
  </si>
  <si>
    <t>AD_0110_F_SD_20190605</t>
  </si>
  <si>
    <t>AD79</t>
  </si>
  <si>
    <t>11335454SER04101</t>
  </si>
  <si>
    <t>AD_0110_F_SD_20190721</t>
  </si>
  <si>
    <t>AD80</t>
  </si>
  <si>
    <t>11257700SER04101</t>
  </si>
  <si>
    <t>AD_0111_M_SD_20190807</t>
  </si>
  <si>
    <t>AD81</t>
  </si>
  <si>
    <t>11257700SER01101</t>
  </si>
  <si>
    <t>AD82</t>
  </si>
  <si>
    <t>11745275SER06101</t>
  </si>
  <si>
    <t>AD_0062_F_SD_000000</t>
  </si>
  <si>
    <t>AD83</t>
  </si>
  <si>
    <t>11282794SER02101</t>
  </si>
  <si>
    <t>AD_0068_F_SD_000000</t>
  </si>
  <si>
    <t>AD84</t>
  </si>
  <si>
    <t>11040952SER08101</t>
  </si>
  <si>
    <t>AD_0051_F_SD_000000</t>
  </si>
  <si>
    <t>AD85</t>
  </si>
  <si>
    <t>11260289SER07101</t>
  </si>
  <si>
    <t>AD_0069_F_SD_000000</t>
  </si>
  <si>
    <t>AD86</t>
  </si>
  <si>
    <t>11560179SER15101</t>
  </si>
  <si>
    <t>AD_0067_F_SD_000000</t>
  </si>
  <si>
    <t>AD87</t>
  </si>
  <si>
    <t>11658548SER05101</t>
  </si>
  <si>
    <t>AD_0066_F_SD_20210304</t>
  </si>
  <si>
    <t>AD88</t>
  </si>
  <si>
    <t>11646152SER17101</t>
  </si>
  <si>
    <t>AD_0059_F_SD_20210326</t>
  </si>
  <si>
    <t>AD89</t>
  </si>
  <si>
    <t>11377117SER03101</t>
  </si>
  <si>
    <t>AD_0063_F_SD_000000</t>
  </si>
  <si>
    <t>AD90</t>
  </si>
  <si>
    <t>11667571SER05101</t>
  </si>
  <si>
    <t>AD_0054_F_SD_000000</t>
  </si>
  <si>
    <t>AD91</t>
  </si>
  <si>
    <t>11301554SER07101</t>
  </si>
  <si>
    <t>AD_0007_M_SD_20190522</t>
  </si>
  <si>
    <t>AD92</t>
  </si>
  <si>
    <t>11726120SER03101</t>
  </si>
  <si>
    <t>AD_0009_M_SD_20190424</t>
  </si>
  <si>
    <t>AD93</t>
  </si>
  <si>
    <t>11381622SER11101</t>
  </si>
  <si>
    <t>AD_0010_M_SD_20191106</t>
  </si>
  <si>
    <t>AD94</t>
  </si>
  <si>
    <t>11602845SER02101</t>
  </si>
  <si>
    <t>AD_0011_M_SD_20200706</t>
  </si>
  <si>
    <t>AD95</t>
  </si>
  <si>
    <t>11603112SER15101</t>
  </si>
  <si>
    <t>AD_0016_M_SD_20190129</t>
  </si>
  <si>
    <t>AD96</t>
  </si>
  <si>
    <t>11263262SER02101</t>
  </si>
  <si>
    <t>AD_0018_M_SD_20201210</t>
  </si>
  <si>
    <t>AD97</t>
  </si>
  <si>
    <t>11285010SER02101</t>
  </si>
  <si>
    <t>AD_0022_M_SD_20210125</t>
  </si>
  <si>
    <t>AD98</t>
  </si>
  <si>
    <t>11186892SER33101</t>
  </si>
  <si>
    <t>AD_0025_M_SD_20201020</t>
  </si>
  <si>
    <t>AD99</t>
  </si>
  <si>
    <t>11287689SER01101</t>
  </si>
  <si>
    <t>AD_0028_M_SD_20200909</t>
  </si>
  <si>
    <t>AD100</t>
  </si>
  <si>
    <t>11511905SER08101</t>
  </si>
  <si>
    <t>AD_0031_M_SD_20190930</t>
  </si>
  <si>
    <t>AD101</t>
  </si>
  <si>
    <t>11012637SER06101</t>
  </si>
  <si>
    <t>AD_0035_M_SD_20201110</t>
  </si>
  <si>
    <t>AD102</t>
  </si>
  <si>
    <t>11689739SER01101</t>
  </si>
  <si>
    <t>AD_0036_M_SD_20191007</t>
  </si>
  <si>
    <t>AD103</t>
  </si>
  <si>
    <t>11389360SER01101</t>
  </si>
  <si>
    <t>AD_0040_M_SD_20210201</t>
  </si>
  <si>
    <t>AD104</t>
  </si>
  <si>
    <t>11023368SER08101</t>
  </si>
  <si>
    <t>AD_0042_M_SD_20190422</t>
  </si>
  <si>
    <t>AD105</t>
  </si>
  <si>
    <t>11545062SER01101</t>
  </si>
  <si>
    <t>AD_0052_M_SD_000000</t>
  </si>
  <si>
    <t>AD106</t>
  </si>
  <si>
    <t>11298826SER03101</t>
  </si>
  <si>
    <t>AD_0057_M_SD_000000</t>
  </si>
  <si>
    <t>AD107</t>
  </si>
  <si>
    <t>11370951SER02101</t>
  </si>
  <si>
    <t>AD_0076_M_SD_20200908</t>
  </si>
  <si>
    <t>AD108</t>
  </si>
  <si>
    <t>AD109</t>
  </si>
  <si>
    <t>11082111SER02101</t>
  </si>
  <si>
    <t>AD_0077_M_SD_20190619</t>
  </si>
  <si>
    <t>AD110</t>
  </si>
  <si>
    <t>11082111SER03101</t>
  </si>
  <si>
    <t>AD_0077_M_SD_20200610</t>
  </si>
  <si>
    <t>AD111</t>
  </si>
  <si>
    <t>11100809SER01101</t>
  </si>
  <si>
    <t>AD_0081_M_SD_20210302</t>
  </si>
  <si>
    <t>AD112</t>
  </si>
  <si>
    <t>11100809SER02101</t>
  </si>
  <si>
    <t>AD113</t>
  </si>
  <si>
    <t>11700192SER01101</t>
  </si>
  <si>
    <t>AD_0086_M_SD_20200928</t>
  </si>
  <si>
    <t>AD114</t>
  </si>
  <si>
    <t>11491234SER01101</t>
  </si>
  <si>
    <t>AD_0030_F_SD_20210210</t>
  </si>
  <si>
    <t>AD115</t>
  </si>
  <si>
    <t>1A</t>
  </si>
  <si>
    <t>CTL_0112_M_SD_20201030</t>
  </si>
  <si>
    <t>C11</t>
  </si>
  <si>
    <t>2A</t>
  </si>
  <si>
    <t>GS-012-H</t>
  </si>
  <si>
    <t>CTL_0113_F_SD_20201119</t>
  </si>
  <si>
    <t>C12</t>
  </si>
  <si>
    <t>3A</t>
  </si>
  <si>
    <t>CTL_0119_M_SD_20210624</t>
  </si>
  <si>
    <t>C13</t>
  </si>
  <si>
    <t>4A</t>
  </si>
  <si>
    <t>CTL_0120_M_SD_20210901</t>
  </si>
  <si>
    <t>C14</t>
  </si>
  <si>
    <t>5A</t>
  </si>
  <si>
    <t>CTL_0121_M_SD_20211118</t>
  </si>
  <si>
    <t>C15</t>
  </si>
  <si>
    <t>6A</t>
  </si>
  <si>
    <t>CTL_0122_M_SD_20230921</t>
  </si>
  <si>
    <t>C16</t>
  </si>
  <si>
    <t>7A</t>
  </si>
  <si>
    <t>GS-271-H</t>
  </si>
  <si>
    <t>CTL_0123_F_SD_20230829</t>
  </si>
  <si>
    <t>C17</t>
  </si>
  <si>
    <t>2023-08-29</t>
  </si>
  <si>
    <t>7B</t>
  </si>
  <si>
    <t>C18</t>
  </si>
  <si>
    <t>8A</t>
  </si>
  <si>
    <t>GS-273-H</t>
  </si>
  <si>
    <t>CTL_0124_F_SD_20230906</t>
  </si>
  <si>
    <t>C19</t>
  </si>
  <si>
    <t>2023-09-06</t>
  </si>
  <si>
    <t>8B</t>
  </si>
  <si>
    <t>C20</t>
  </si>
  <si>
    <t>9A</t>
  </si>
  <si>
    <t>GS-274-H</t>
  </si>
  <si>
    <t>CTL_0125_M_SD_20230915</t>
  </si>
  <si>
    <t>C21</t>
  </si>
  <si>
    <t>9B</t>
  </si>
  <si>
    <t>C22</t>
  </si>
  <si>
    <t>GS-090-D</t>
  </si>
  <si>
    <t>MCI_0126_M_SD_20210615</t>
  </si>
  <si>
    <t>MCI6</t>
  </si>
  <si>
    <t>1B</t>
  </si>
  <si>
    <t>MCI7</t>
  </si>
  <si>
    <t>MCI_0127_M_SD_20211108</t>
  </si>
  <si>
    <t>MCI8</t>
  </si>
  <si>
    <t>MCI_0128_F_SD_20211210</t>
  </si>
  <si>
    <t>MCI9</t>
  </si>
  <si>
    <t>MCI_0129_F_SD_20220905</t>
  </si>
  <si>
    <t>MCI10</t>
  </si>
  <si>
    <t>2022-09-05</t>
  </si>
  <si>
    <t>MCI_0130_F_SD_20220921</t>
  </si>
  <si>
    <t>MCI11</t>
  </si>
  <si>
    <t>2022-09-21</t>
  </si>
  <si>
    <t>MCI_0131_M_SD_20230417</t>
  </si>
  <si>
    <t>MCI12</t>
  </si>
  <si>
    <t>2023-04-17</t>
  </si>
  <si>
    <t>GS-261-D</t>
  </si>
  <si>
    <t>MCI_0132_F_SD_20230613</t>
  </si>
  <si>
    <t>MCI13</t>
  </si>
  <si>
    <t>2023-06-13</t>
  </si>
  <si>
    <t>MCI14</t>
  </si>
  <si>
    <t>GS-263-D</t>
  </si>
  <si>
    <t>MCI_0133_F_SD_20230711</t>
  </si>
  <si>
    <t>MCI15</t>
  </si>
  <si>
    <t>2023-07-11</t>
  </si>
  <si>
    <t>MCI16</t>
  </si>
  <si>
    <t>GS-265-D</t>
  </si>
  <si>
    <t>MCI_0134_F_SD_20230712</t>
  </si>
  <si>
    <t>MCI17</t>
  </si>
  <si>
    <t>2023-07-12</t>
  </si>
  <si>
    <t>MCI18</t>
  </si>
  <si>
    <t>1D</t>
  </si>
  <si>
    <t>GS-266-D</t>
  </si>
  <si>
    <t>MCI_0135_F_SD_20230731</t>
  </si>
  <si>
    <t>MCI19</t>
  </si>
  <si>
    <t>2023-07-31</t>
  </si>
  <si>
    <t>1E</t>
  </si>
  <si>
    <t>MCI20</t>
  </si>
  <si>
    <t>2D</t>
  </si>
  <si>
    <t>GS-272-D</t>
  </si>
  <si>
    <t>MCI_0136_F_SD_20230809</t>
  </si>
  <si>
    <t>MCI21</t>
  </si>
  <si>
    <t>2023-08-09</t>
  </si>
  <si>
    <t>2E</t>
  </si>
  <si>
    <t>MCI22</t>
  </si>
  <si>
    <t>치매지수</t>
    <phoneticPr fontId="2" type="noConversion"/>
  </si>
  <si>
    <t>CTRL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</si>
</sst>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8" formatCode="yyyy\-mm\-dd\ h:mm:ss"/>
    <numFmt numFmtId="183" formatCode="0.000"/>
  </numFmts>
  <fonts count="20"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color rgb="FF333333"/>
      <name val="맑은 고딕"/>
      <family val="3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0"/>
      <color rgb="FFFF0000"/>
      <name val="맑은 고딕"/>
      <family val="2"/>
      <scheme val="minor"/>
    </font>
    <font>
      <b/>
      <sz val="12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7" fillId="0" borderId="0">
      <alignment vertical="center"/>
    </xf>
  </cellStyleXfs>
  <cellXfs count="1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  <xf numFmtId="4" fontId="6" fillId="3" borderId="1" xfId="1" applyNumberFormat="1" applyFont="1" applyFill="1" applyBorder="1" applyAlignment="1">
      <alignment horizontal="center" vertical="center"/>
    </xf>
    <xf numFmtId="4" fontId="6" fillId="0" borderId="1" xfId="1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0" fillId="0" borderId="1" xfId="0" applyBorder="1">
      <alignment vertical="center"/>
    </xf>
    <xf numFmtId="0" fontId="10" fillId="0" borderId="1" xfId="0" applyFont="1" applyBorder="1" applyAlignment="1"/>
    <xf numFmtId="0" fontId="10" fillId="6" borderId="1" xfId="0" applyFont="1" applyFill="1" applyBorder="1" applyAlignment="1"/>
    <xf numFmtId="0" fontId="12" fillId="5" borderId="1" xfId="0" applyFont="1" applyFill="1" applyBorder="1" applyAlignment="1"/>
    <xf numFmtId="0" fontId="12" fillId="0" borderId="1" xfId="0" applyFont="1" applyBorder="1" applyAlignment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176" fontId="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/>
    <xf numFmtId="176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/>
    <xf numFmtId="0" fontId="1" fillId="7" borderId="1" xfId="0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/>
    <xf numFmtId="49" fontId="1" fillId="7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/>
    <xf numFmtId="176" fontId="1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/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8" borderId="0" xfId="0" applyFill="1" applyAlignment="1"/>
    <xf numFmtId="0" fontId="0" fillId="9" borderId="0" xfId="0" applyFill="1" applyAlignment="1"/>
    <xf numFmtId="0" fontId="0" fillId="0" borderId="0" xfId="0" applyAlignment="1"/>
    <xf numFmtId="0" fontId="0" fillId="10" borderId="0" xfId="0" applyFill="1" applyAlignment="1"/>
    <xf numFmtId="0" fontId="0" fillId="5" borderId="0" xfId="0" applyFill="1" applyAlignment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/>
    <xf numFmtId="176" fontId="0" fillId="0" borderId="1" xfId="0" applyNumberFormat="1" applyBorder="1" applyAlignment="1"/>
    <xf numFmtId="176" fontId="0" fillId="0" borderId="0" xfId="0" applyNumberFormat="1" applyAlignment="1"/>
    <xf numFmtId="0" fontId="15" fillId="0" borderId="1" xfId="0" applyFont="1" applyBorder="1" applyAlignment="1"/>
    <xf numFmtId="0" fontId="15" fillId="9" borderId="1" xfId="0" applyFont="1" applyFill="1" applyBorder="1" applyAlignment="1"/>
    <xf numFmtId="0" fontId="15" fillId="0" borderId="0" xfId="0" applyFont="1" applyAlignment="1"/>
    <xf numFmtId="176" fontId="15" fillId="0" borderId="1" xfId="0" applyNumberFormat="1" applyFont="1" applyBorder="1" applyAlignment="1"/>
    <xf numFmtId="176" fontId="15" fillId="0" borderId="0" xfId="0" applyNumberFormat="1" applyFont="1" applyAlignment="1"/>
    <xf numFmtId="0" fontId="16" fillId="0" borderId="1" xfId="0" applyFont="1" applyBorder="1" applyAlignment="1"/>
    <xf numFmtId="0" fontId="17" fillId="0" borderId="0" xfId="0" applyFont="1" applyAlignment="1"/>
    <xf numFmtId="176" fontId="17" fillId="0" borderId="1" xfId="0" applyNumberFormat="1" applyFont="1" applyBorder="1" applyAlignment="1"/>
    <xf numFmtId="176" fontId="17" fillId="0" borderId="0" xfId="0" applyNumberFormat="1" applyFont="1" applyAlignment="1"/>
    <xf numFmtId="178" fontId="0" fillId="0" borderId="1" xfId="0" applyNumberFormat="1" applyBorder="1" applyAlignment="1"/>
    <xf numFmtId="178" fontId="15" fillId="0" borderId="1" xfId="0" applyNumberFormat="1" applyFont="1" applyBorder="1" applyAlignment="1"/>
    <xf numFmtId="0" fontId="18" fillId="9" borderId="0" xfId="0" applyFont="1" applyFill="1" applyAlignment="1">
      <alignment horizontal="center"/>
    </xf>
    <xf numFmtId="0" fontId="18" fillId="9" borderId="1" xfId="0" applyFont="1" applyFill="1" applyBorder="1" applyAlignment="1">
      <alignment horizontal="center" wrapText="1"/>
    </xf>
    <xf numFmtId="0" fontId="14" fillId="9" borderId="1" xfId="0" applyFont="1" applyFill="1" applyBorder="1" applyAlignment="1"/>
    <xf numFmtId="0" fontId="19" fillId="9" borderId="1" xfId="0" applyFont="1" applyFill="1" applyBorder="1" applyAlignment="1"/>
    <xf numFmtId="183" fontId="0" fillId="0" borderId="0" xfId="0" applyNumberForma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4" fontId="1" fillId="3" borderId="6" xfId="0" applyNumberFormat="1" applyFont="1" applyFill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4" fontId="6" fillId="3" borderId="6" xfId="1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637F49FC-604D-6C4E-9A1A-C3B3BF500465}"/>
    <cellStyle name="표준 72" xfId="2" xr:uid="{E94EE627-0250-3841-9F32-5478455DCF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ANOVA!$J$12</c:f>
              <c:strCache>
                <c:ptCount val="1"/>
                <c:pt idx="0">
                  <c:v>Ctrl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ANOVA!$K$11:$S$11</c:f>
              <c:strCache>
                <c:ptCount val="9"/>
                <c:pt idx="0">
                  <c:v>SYNJ1</c:v>
                </c:pt>
                <c:pt idx="1">
                  <c:v>Hook3</c:v>
                </c:pt>
                <c:pt idx="2">
                  <c:v>MApiA</c:v>
                </c:pt>
                <c:pt idx="3">
                  <c:v>Shank1</c:v>
                </c:pt>
                <c:pt idx="4">
                  <c:v>AIB6</c:v>
                </c:pt>
                <c:pt idx="5">
                  <c:v>AIB7</c:v>
                </c:pt>
                <c:pt idx="6">
                  <c:v>AIB8</c:v>
                </c:pt>
                <c:pt idx="7">
                  <c:v>AIB10</c:v>
                </c:pt>
                <c:pt idx="8">
                  <c:v>AIB11</c:v>
                </c:pt>
              </c:strCache>
            </c:strRef>
          </c:cat>
          <c:val>
            <c:numRef>
              <c:f>ANOVA!$K$12:$S$12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F-4445-A11C-E083C1B82B4E}"/>
            </c:ext>
          </c:extLst>
        </c:ser>
        <c:ser>
          <c:idx val="1"/>
          <c:order val="1"/>
          <c:tx>
            <c:strRef>
              <c:f>ANOVA!$J$13</c:f>
              <c:strCache>
                <c:ptCount val="1"/>
                <c:pt idx="0">
                  <c:v>MCI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ANOVA!$K$11:$S$11</c:f>
              <c:strCache>
                <c:ptCount val="9"/>
                <c:pt idx="0">
                  <c:v>SYNJ1</c:v>
                </c:pt>
                <c:pt idx="1">
                  <c:v>Hook3</c:v>
                </c:pt>
                <c:pt idx="2">
                  <c:v>MApiA</c:v>
                </c:pt>
                <c:pt idx="3">
                  <c:v>Shank1</c:v>
                </c:pt>
                <c:pt idx="4">
                  <c:v>AIB6</c:v>
                </c:pt>
                <c:pt idx="5">
                  <c:v>AIB7</c:v>
                </c:pt>
                <c:pt idx="6">
                  <c:v>AIB8</c:v>
                </c:pt>
                <c:pt idx="7">
                  <c:v>AIB10</c:v>
                </c:pt>
                <c:pt idx="8">
                  <c:v>AIB11</c:v>
                </c:pt>
              </c:strCache>
            </c:strRef>
          </c:cat>
          <c:val>
            <c:numRef>
              <c:f>ANOVA!$K$13:$S$13</c:f>
              <c:numCache>
                <c:formatCode>General</c:formatCode>
                <c:ptCount val="9"/>
                <c:pt idx="0">
                  <c:v>0.59620092912153755</c:v>
                </c:pt>
                <c:pt idx="1">
                  <c:v>-0.12461186669089575</c:v>
                </c:pt>
                <c:pt idx="2">
                  <c:v>-0.30406297336925148</c:v>
                </c:pt>
                <c:pt idx="3">
                  <c:v>0.58131828134710095</c:v>
                </c:pt>
                <c:pt idx="4">
                  <c:v>-8.0865743810477397E-2</c:v>
                </c:pt>
                <c:pt idx="5">
                  <c:v>1.4822874676097513</c:v>
                </c:pt>
                <c:pt idx="6">
                  <c:v>-0.7513773016496117</c:v>
                </c:pt>
                <c:pt idx="7">
                  <c:v>1.141266821080988</c:v>
                </c:pt>
                <c:pt idx="8">
                  <c:v>-0.14791282133622552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1F-4445-A11C-E083C1B82B4E}"/>
            </c:ext>
          </c:extLst>
        </c:ser>
        <c:ser>
          <c:idx val="2"/>
          <c:order val="2"/>
          <c:tx>
            <c:strRef>
              <c:f>ANOVA!$J$14</c:f>
              <c:strCache>
                <c:ptCount val="1"/>
                <c:pt idx="0">
                  <c:v>AD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ANOVA!$K$11:$S$11</c:f>
              <c:strCache>
                <c:ptCount val="9"/>
                <c:pt idx="0">
                  <c:v>SYNJ1</c:v>
                </c:pt>
                <c:pt idx="1">
                  <c:v>Hook3</c:v>
                </c:pt>
                <c:pt idx="2">
                  <c:v>MApiA</c:v>
                </c:pt>
                <c:pt idx="3">
                  <c:v>Shank1</c:v>
                </c:pt>
                <c:pt idx="4">
                  <c:v>AIB6</c:v>
                </c:pt>
                <c:pt idx="5">
                  <c:v>AIB7</c:v>
                </c:pt>
                <c:pt idx="6">
                  <c:v>AIB8</c:v>
                </c:pt>
                <c:pt idx="7">
                  <c:v>AIB10</c:v>
                </c:pt>
                <c:pt idx="8">
                  <c:v>AIB11</c:v>
                </c:pt>
              </c:strCache>
            </c:strRef>
          </c:cat>
          <c:val>
            <c:numRef>
              <c:f>ANOVA!$K$14:$S$14</c:f>
              <c:numCache>
                <c:formatCode>General</c:formatCode>
                <c:ptCount val="9"/>
                <c:pt idx="0">
                  <c:v>-1.972366541924415</c:v>
                </c:pt>
                <c:pt idx="1">
                  <c:v>-2.0587124462375392</c:v>
                </c:pt>
                <c:pt idx="2">
                  <c:v>-2.5583351799605722</c:v>
                </c:pt>
                <c:pt idx="3">
                  <c:v>-1.1582787570210251</c:v>
                </c:pt>
                <c:pt idx="4">
                  <c:v>-3.2806322372238359</c:v>
                </c:pt>
                <c:pt idx="5">
                  <c:v>-2.7676240686689102</c:v>
                </c:pt>
                <c:pt idx="6">
                  <c:v>-5.05420503071376</c:v>
                </c:pt>
                <c:pt idx="7">
                  <c:v>-2.5922673078264511</c:v>
                </c:pt>
                <c:pt idx="8">
                  <c:v>-3.8297614776809494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1F-4445-A11C-E083C1B82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8219648"/>
        <c:axId val="678221376"/>
      </c:barChart>
      <c:catAx>
        <c:axId val="67821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8221376"/>
        <c:crosses val="autoZero"/>
        <c:auto val="1"/>
        <c:lblAlgn val="ctr"/>
        <c:lblOffset val="100"/>
        <c:noMultiLvlLbl val="0"/>
      </c:catAx>
      <c:valAx>
        <c:axId val="67822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821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</cx:chartData>
  <cx:chart>
    <cx:title pos="t" align="ctr" overlay="0"/>
    <cx:plotArea>
      <cx:plotAreaRegion>
        <cx:series layoutId="boxWhisker" uniqueId="{F32E177F-7E24-1541-B249-7B30DED3F450}">
          <cx:tx>
            <cx:txData>
              <cx:f>_xlchart.v1.30</cx:f>
              <cx:v>CTRL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499D452-726A-EF4B-8719-B91A95CD1EB1}">
          <cx:tx>
            <cx:txData>
              <cx:f>_xlchart.v1.32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06D7980-D38A-EF46-BF98-0764739CF50A}">
          <cx:tx>
            <cx:txData>
              <cx:f>_xlchart.v1.34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_xlchart.v1.241</cx:f>
      </cx:numDim>
    </cx:data>
    <cx:data id="1">
      <cx:numDim type="val">
        <cx:f>_xlchart.v1.243</cx:f>
      </cx:numDim>
    </cx:data>
    <cx:data id="2">
      <cx:numDim type="val">
        <cx:f>_xlchart.v1.245</cx:f>
      </cx:numDim>
    </cx:data>
  </cx:chartData>
  <cx:chart>
    <cx:title pos="t" align="ctr" overlay="0"/>
    <cx:plotArea>
      <cx:plotAreaRegion>
        <cx:series layoutId="boxWhisker" uniqueId="{BD00CD7F-A684-A940-AA3F-33F42E2C3967}">
          <cx:tx>
            <cx:txData>
              <cx:f>_xlchart.v1.240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4DA6AE51-DCE5-C743-AE80-7BFDAB8A4C0C}">
          <cx:tx>
            <cx:txData>
              <cx:f>_xlchart.v1.242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EE4AD0BE-8F23-1244-B849-213ADA611856}">
          <cx:tx>
            <cx:txData>
              <cx:f>_xlchart.v1.244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_xlchart.v1.121</cx:f>
      </cx:numDim>
    </cx:data>
    <cx:data id="1">
      <cx:numDim type="val">
        <cx:f>_xlchart.v1.123</cx:f>
      </cx:numDim>
    </cx:data>
    <cx:data id="2">
      <cx:numDim type="val">
        <cx:f>_xlchart.v1.125</cx:f>
      </cx:numDim>
    </cx:data>
  </cx:chartData>
  <cx:chart>
    <cx:title pos="t" align="ctr" overlay="0"/>
    <cx:plotArea>
      <cx:plotAreaRegion>
        <cx:series layoutId="boxWhisker" uniqueId="{7438B7C2-E73A-804F-AF26-E0F0645036C8}">
          <cx:tx>
            <cx:txData>
              <cx:f>_xlchart.v1.120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2FB944B6-A529-274D-8E67-8B274B131386}">
          <cx:tx>
            <cx:txData>
              <cx:f>_xlchart.v1.122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E2749F93-B459-C340-ABDC-85E81BBDC6C8}">
          <cx:tx>
            <cx:txData>
              <cx:f>_xlchart.v1.124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_xlchart.v1.55</cx:f>
      </cx:numDim>
    </cx:data>
    <cx:data id="1">
      <cx:numDim type="val">
        <cx:f>_xlchart.v1.57</cx:f>
      </cx:numDim>
    </cx:data>
    <cx:data id="2">
      <cx:numDim type="val">
        <cx:f>_xlchart.v1.59</cx:f>
      </cx:numDim>
    </cx:data>
  </cx:chartData>
  <cx:chart>
    <cx:title pos="t" align="ctr" overlay="0"/>
    <cx:plotArea>
      <cx:plotAreaRegion>
        <cx:series layoutId="boxWhisker" uniqueId="{F139FCCE-AB73-864A-9B22-AEAE4310F254}">
          <cx:tx>
            <cx:txData>
              <cx:f>_xlchart.v1.54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B4B5A05E-D9C4-744B-A179-2A678059F057}">
          <cx:tx>
            <cx:txData>
              <cx:f>_xlchart.v1.56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DA2D095E-1E54-1F41-8C19-63EBA913FE6D}">
          <cx:tx>
            <cx:txData>
              <cx:f>_xlchart.v1.58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</cx:chartData>
  <cx:chart>
    <cx:title pos="t" align="ctr" overlay="0"/>
    <cx:plotArea>
      <cx:plotAreaRegion>
        <cx:series layoutId="boxWhisker" uniqueId="{E36A2DCF-D073-964B-A7CA-E179ED27DD84}">
          <cx:tx>
            <cx:txData>
              <cx:f>_xlchart.v1.24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ED2F559D-D80F-EC4C-9474-D6E592EF4E62}">
          <cx:tx>
            <cx:txData>
              <cx:f>_xlchart.v1.26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3C0D2E19-5C30-B94C-897D-16E6E108F1DC}">
          <cx:tx>
            <cx:txData>
              <cx:f>_xlchart.v1.28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_xlchart.v1.277</cx:f>
      </cx:numDim>
    </cx:data>
    <cx:data id="1">
      <cx:numDim type="val">
        <cx:f>_xlchart.v1.279</cx:f>
      </cx:numDim>
    </cx:data>
    <cx:data id="2">
      <cx:numDim type="val">
        <cx:f>_xlchart.v1.281</cx:f>
      </cx:numDim>
    </cx:data>
  </cx:chartData>
  <cx:chart>
    <cx:title pos="t" align="ctr" overlay="0"/>
    <cx:plotArea>
      <cx:plotAreaRegion>
        <cx:series layoutId="boxWhisker" uniqueId="{78DD1BA9-D77F-1743-9723-407B9BB75193}">
          <cx:tx>
            <cx:txData>
              <cx:f>_xlchart.v1.276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7F485CB0-E89E-074B-9388-C47AC43BD5D4}">
          <cx:tx>
            <cx:txData>
              <cx:f>_xlchart.v1.278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AA5EFDFD-073B-994D-9CEB-85B9955995EB}">
          <cx:tx>
            <cx:txData>
              <cx:f>_xlchart.v1.280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_xlchart.v1.229</cx:f>
      </cx:numDim>
    </cx:data>
    <cx:data id="1">
      <cx:numDim type="val">
        <cx:f>_xlchart.v1.231</cx:f>
      </cx:numDim>
    </cx:data>
    <cx:data id="2">
      <cx:numDim type="val">
        <cx:f>_xlchart.v1.233</cx:f>
      </cx:numDim>
    </cx:data>
  </cx:chartData>
  <cx:chart>
    <cx:title pos="t" align="ctr" overlay="0"/>
    <cx:plotArea>
      <cx:plotAreaRegion>
        <cx:series layoutId="boxWhisker" uniqueId="{E9CC014F-847B-8E4E-90E9-B84711159642}">
          <cx:tx>
            <cx:txData>
              <cx:f>_xlchart.v1.228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BBD58635-B24B-3F45-9458-6C4ACC935F9F}">
          <cx:tx>
            <cx:txData>
              <cx:f>_xlchart.v1.230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1C6AFEEB-0E6B-F843-8EBE-9B22E9750F03}">
          <cx:tx>
            <cx:txData>
              <cx:f>_xlchart.v1.232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_xlchart.v1.327</cx:f>
      </cx:numDim>
    </cx:data>
    <cx:data id="1">
      <cx:numDim type="val">
        <cx:f>_xlchart.v1.329</cx:f>
      </cx:numDim>
    </cx:data>
    <cx:data id="2">
      <cx:numDim type="val">
        <cx:f>_xlchart.v1.283</cx:f>
      </cx:numDim>
    </cx:data>
  </cx:chartData>
  <cx:chart>
    <cx:title pos="t" align="ctr" overlay="0"/>
    <cx:plotArea>
      <cx:plotAreaRegion>
        <cx:series layoutId="boxWhisker" uniqueId="{B265CF72-B53C-C446-83AF-DAD7772CC7DB}">
          <cx:tx>
            <cx:txData>
              <cx:f>_xlchart.v1.326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BA7537C7-56D3-6B4E-BFF8-B75A397FF440}">
          <cx:tx>
            <cx:txData>
              <cx:f>_xlchart.v1.328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EB333072-3012-0D45-968E-8937554B13B0}">
          <cx:tx>
            <cx:txData>
              <cx:f>_xlchart.v1.282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_xlchart.v1.140</cx:f>
      </cx:numDim>
    </cx:data>
    <cx:data id="1">
      <cx:numDim type="val">
        <cx:f>_xlchart.v1.143</cx:f>
      </cx:numDim>
    </cx:data>
    <cx:data id="2">
      <cx:numDim type="val">
        <cx:f>_xlchart.v1.145</cx:f>
      </cx:numDim>
    </cx:data>
  </cx:chartData>
  <cx:chart>
    <cx:title pos="t" align="ctr" overlay="0"/>
    <cx:plotArea>
      <cx:plotAreaRegion>
        <cx:series layoutId="boxWhisker" uniqueId="{28C2EA87-0D20-974B-A0F2-7AC469E348E4}">
          <cx:dataId val="0"/>
          <cx:layoutPr>
            <cx:statistics quartileMethod="exclusive"/>
          </cx:layoutPr>
        </cx:series>
        <cx:series layoutId="boxWhisker" uniqueId="{9EFCE4D6-A2DE-3D4E-92B5-FD88F34BF421}">
          <cx:dataId val="1"/>
          <cx:layoutPr>
            <cx:statistics quartileMethod="exclusive"/>
          </cx:layoutPr>
        </cx:series>
        <cx:series layoutId="boxWhisker" uniqueId="{3EFC1A95-7FCA-AB42-82AC-4660878A22AD}"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_xlchart.v1.127</cx:f>
      </cx:numDim>
    </cx:data>
    <cx:data id="1">
      <cx:numDim type="val">
        <cx:f>_xlchart.v1.130</cx:f>
      </cx:numDim>
    </cx:data>
    <cx:data id="2">
      <cx:numDim type="val">
        <cx:f>_xlchart.v1.133</cx:f>
      </cx:numDim>
    </cx:data>
  </cx:chartData>
  <cx:chart>
    <cx:title pos="t" align="ctr" overlay="0"/>
    <cx:plotArea>
      <cx:plotAreaRegion>
        <cx:series layoutId="boxWhisker" uniqueId="{2A4F837E-CE1B-664F-9795-5629B124ABDF}">
          <cx:tx>
            <cx:txData>
              <cx:f>_xlchart.v1.126</cx:f>
              <cx:v>CTRL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5FAD98C-2025-E74A-A8EC-1B2059F1535A}">
          <cx:tx>
            <cx:txData>
              <cx:f>_xlchart.v1.128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73636E6-8F74-9D47-AF13-E047477F3C23}">
          <cx:tx>
            <cx:txData>
              <cx:f>_xlchart.v1.131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_xlchart.v1.331</cx:f>
      </cx:numDim>
    </cx:data>
    <cx:data id="1">
      <cx:numDim type="val">
        <cx:f>_xlchart.v1.333</cx:f>
      </cx:numDim>
    </cx:data>
    <cx:data id="2">
      <cx:numDim type="val">
        <cx:f>_xlchart.v1.335</cx:f>
      </cx:numDim>
    </cx:data>
  </cx:chartData>
  <cx:chart>
    <cx:title pos="t" align="ctr" overlay="0">
      <cx:tx>
        <cx:txData>
          <cx:v>치매 인덱스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 b="1">
              <a:solidFill>
                <a:srgbClr val="FF0000"/>
              </a:solidFill>
            </a:defRPr>
          </a:pPr>
          <a:r>
            <a:rPr lang="ko-KR" altLang="en-US" sz="1600" b="1" i="0" u="none" strike="noStrike" baseline="0">
              <a:solidFill>
                <a:srgbClr val="FF0000"/>
              </a:solidFill>
              <a:latin typeface="Calibri" panose="020F0502020204030204"/>
              <a:ea typeface="맑은 고딕" panose="020B0503020000020004" pitchFamily="34" charset="-127"/>
            </a:rPr>
            <a:t>치매 인덱스</a:t>
          </a:r>
        </a:p>
      </cx:txPr>
    </cx:title>
    <cx:plotArea>
      <cx:plotAreaRegion>
        <cx:series layoutId="boxWhisker" uniqueId="{6EFB2A37-11C5-BD42-A69D-A4129FCF30B4}">
          <cx:tx>
            <cx:txData>
              <cx:f>_xlchart.v1.330</cx:f>
              <cx:v>Ctrl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8C4E93B5-1D89-B24E-85EE-019327F8E075}">
          <cx:tx>
            <cx:txData>
              <cx:f>_xlchart.v1.332</cx:f>
              <cx:v>MCI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AD0F834C-1B7C-2346-9CD9-0D3D34FF7A68}">
          <cx:tx>
            <cx:txData>
              <cx:f>_xlchart.v1.334</cx:f>
              <cx:v>AD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00"/>
        <cx:majorGridlines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_xlchart.v1.361</cx:f>
      </cx:numDim>
    </cx:data>
    <cx:data id="1">
      <cx:numDim type="val">
        <cx:f>_xlchart.v1.363</cx:f>
      </cx:numDim>
    </cx:data>
    <cx:data id="2">
      <cx:numDim type="val">
        <cx:f>_xlchart.v1.365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34" charset="-127"/>
              </a:rPr>
              <a:t>SYNJ1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34" charset="-127"/>
            </a:endParaRPr>
          </a:p>
        </cx:rich>
      </cx:tx>
    </cx:title>
    <cx:plotArea>
      <cx:plotAreaRegion>
        <cx:series layoutId="boxWhisker" uniqueId="{0572B810-1158-CA46-8DCC-369B73AD5870}">
          <cx:tx>
            <cx:txData>
              <cx:f>_xlchart.v1.360</cx:f>
              <cx:v>Ctrl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3D55F0F-8D47-5B46-BBF8-721B03466EE8}">
          <cx:tx>
            <cx:txData>
              <cx:f>_xlchart.v1.362</cx:f>
              <cx:v>MCI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ED5D2A6-ACC5-4741-B3B8-43B0F94848D2}">
          <cx:tx>
            <cx:txData>
              <cx:f>_xlchart.v1.364</cx:f>
              <cx:v>AD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_xlchart.v1.379</cx:f>
      </cx:numDim>
    </cx:data>
    <cx:data id="1">
      <cx:numDim type="val">
        <cx:f>_xlchart.v1.381</cx:f>
      </cx:numDim>
    </cx:data>
    <cx:data id="2">
      <cx:numDim type="val">
        <cx:f>_xlchart.v1.383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34" charset="-127"/>
              </a:rPr>
              <a:t>Hook3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34" charset="-127"/>
            </a:endParaRPr>
          </a:p>
        </cx:rich>
      </cx:tx>
    </cx:title>
    <cx:plotArea>
      <cx:plotAreaRegion>
        <cx:series layoutId="boxWhisker" uniqueId="{FE65B2A3-499C-6142-BF80-922545BEE4D5}">
          <cx:tx>
            <cx:txData>
              <cx:f>_xlchart.v1.378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2E5126BF-A830-6E40-9936-A1E7367BEC88}">
          <cx:tx>
            <cx:txData>
              <cx:f>_xlchart.v1.380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CBDC3703-4AD8-2640-B729-0042A4158A8E}">
          <cx:tx>
            <cx:txData>
              <cx:f>_xlchart.v1.382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_xlchart.v1.355</cx:f>
      </cx:numDim>
    </cx:data>
    <cx:data id="1">
      <cx:numDim type="val">
        <cx:f>_xlchart.v1.357</cx:f>
      </cx:numDim>
    </cx:data>
    <cx:data id="2">
      <cx:numDim type="val">
        <cx:f>_xlchart.v1.359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34" charset="-127"/>
              </a:rPr>
              <a:t>MAPiA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34" charset="-127"/>
            </a:endParaRPr>
          </a:p>
        </cx:rich>
      </cx:tx>
    </cx:title>
    <cx:plotArea>
      <cx:plotAreaRegion>
        <cx:series layoutId="boxWhisker" uniqueId="{7C49E699-4CD2-B449-BFCA-39582AD5F31C}">
          <cx:tx>
            <cx:txData>
              <cx:f>_xlchart.v1.354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032A3DE4-B8C9-F049-8255-66EBA8C9DD8F}">
          <cx:tx>
            <cx:txData>
              <cx:f>_xlchart.v1.356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ED75A64C-4050-604E-9275-D49A04030FFA}">
          <cx:tx>
            <cx:txData>
              <cx:f>_xlchart.v1.358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_xlchart.v1.373</cx:f>
      </cx:numDim>
    </cx:data>
    <cx:data id="1">
      <cx:numDim type="val">
        <cx:f>_xlchart.v1.375</cx:f>
      </cx:numDim>
    </cx:data>
    <cx:data id="2">
      <cx:numDim type="val">
        <cx:f>_xlchart.v1.377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34" charset="-127"/>
              </a:rPr>
              <a:t>SHANk1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34" charset="-127"/>
            </a:endParaRPr>
          </a:p>
        </cx:rich>
      </cx:tx>
    </cx:title>
    <cx:plotArea>
      <cx:plotAreaRegion>
        <cx:series layoutId="boxWhisker" uniqueId="{8B572A84-AA2E-2F49-B6B9-DDDF81734607}">
          <cx:tx>
            <cx:txData>
              <cx:f>_xlchart.v1.372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B64874C5-23C6-0E45-A299-36B353882B52}">
          <cx:tx>
            <cx:txData>
              <cx:f>_xlchart.v1.374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1B0F68DA-A2EA-6B4B-84C5-4F7514315349}">
          <cx:tx>
            <cx:txData>
              <cx:f>_xlchart.v1.376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_xlchart.v1.337</cx:f>
      </cx:numDim>
    </cx:data>
    <cx:data id="1">
      <cx:numDim type="val">
        <cx:f>_xlchart.v1.339</cx:f>
      </cx:numDim>
    </cx:data>
    <cx:data id="2">
      <cx:numDim type="val">
        <cx:f>_xlchart.v1.341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34" charset="-127"/>
              </a:rPr>
              <a:t>AIB6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34" charset="-127"/>
            </a:endParaRPr>
          </a:p>
        </cx:rich>
      </cx:tx>
    </cx:title>
    <cx:plotArea>
      <cx:plotAreaRegion>
        <cx:series layoutId="boxWhisker" uniqueId="{8DF86520-DB7F-3D48-A1BC-629FADA5760B}">
          <cx:tx>
            <cx:txData>
              <cx:f>_xlchart.v1.336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20F8144F-698A-AF48-9D68-90A0F94AD701}">
          <cx:tx>
            <cx:txData>
              <cx:f>_xlchart.v1.338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E3062BDE-FF56-E344-B960-2773F588A5F1}">
          <cx:tx>
            <cx:txData>
              <cx:f>_xlchart.v1.340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_xlchart.v1.385</cx:f>
      </cx:numDim>
    </cx:data>
    <cx:data id="1">
      <cx:numDim type="val">
        <cx:f>_xlchart.v1.387</cx:f>
      </cx:numDim>
    </cx:data>
    <cx:data id="2">
      <cx:numDim type="val">
        <cx:f>_xlchart.v1.389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34" charset="-127"/>
              </a:rPr>
              <a:t>Aib7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34" charset="-127"/>
            </a:endParaRPr>
          </a:p>
        </cx:rich>
      </cx:tx>
    </cx:title>
    <cx:plotArea>
      <cx:plotAreaRegion>
        <cx:series layoutId="boxWhisker" uniqueId="{146BBEC9-9AA0-8145-9751-4F9952CACF79}">
          <cx:tx>
            <cx:txData>
              <cx:f>_xlchart.v1.384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19AFF8C7-96E6-8942-81FE-6376C5DF27EA}">
          <cx:tx>
            <cx:txData>
              <cx:f>_xlchart.v1.386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2C1FD37B-A265-5A40-8ED3-BE0F7633BF9D}">
          <cx:tx>
            <cx:txData>
              <cx:f>_xlchart.v1.388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_xlchart.v1.343</cx:f>
      </cx:numDim>
    </cx:data>
    <cx:data id="1">
      <cx:numDim type="val">
        <cx:f>_xlchart.v1.345</cx:f>
      </cx:numDim>
    </cx:data>
    <cx:data id="2">
      <cx:numDim type="val">
        <cx:f>_xlchart.v1.347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34" charset="-127"/>
              </a:rPr>
              <a:t>AIB8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34" charset="-127"/>
            </a:endParaRPr>
          </a:p>
        </cx:rich>
      </cx:tx>
    </cx:title>
    <cx:plotArea>
      <cx:plotAreaRegion>
        <cx:series layoutId="boxWhisker" uniqueId="{77BD0E6A-548C-5449-97D7-5DB3CB46673D}">
          <cx:tx>
            <cx:txData>
              <cx:f>_xlchart.v1.342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8A5CA26B-B7D4-CC4F-B50E-5D3E2A395F2E}">
          <cx:tx>
            <cx:txData>
              <cx:f>_xlchart.v1.344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4CA03A1E-BC5F-B449-8F91-E61B852A57BF}">
          <cx:tx>
            <cx:txData>
              <cx:f>_xlchart.v1.346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1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_xlchart.v1.349</cx:f>
      </cx:numDim>
    </cx:data>
    <cx:data id="1">
      <cx:numDim type="val">
        <cx:f>_xlchart.v1.351</cx:f>
      </cx:numDim>
    </cx:data>
    <cx:data id="2">
      <cx:numDim type="val">
        <cx:f>_xlchart.v1.353</cx:f>
      </cx:numDim>
    </cx:data>
  </cx:chartData>
  <cx:chart>
    <cx:title pos="t" align="ctr" overlay="0">
      <cx:tx>
        <cx:txData>
          <cx:v>AIB10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altLang="ko-K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34" charset="-127"/>
            </a:rPr>
            <a:t>AIB10</a:t>
          </a:r>
        </a:p>
      </cx:txPr>
    </cx:title>
    <cx:plotArea>
      <cx:plotAreaRegion>
        <cx:series layoutId="boxWhisker" uniqueId="{C9DC2304-30D6-0A41-85A7-1E2FB83A2D5A}">
          <cx:tx>
            <cx:txData>
              <cx:f>_xlchart.v1.348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651ED0EF-20FA-684C-9C23-E0487726F362}">
          <cx:tx>
            <cx:txData>
              <cx:f>_xlchart.v1.350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AC68E93D-AEFC-A24A-98B4-8940A8BC5256}">
          <cx:tx>
            <cx:txData>
              <cx:f>_xlchart.v1.352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_xlchart.v1.371</cx:f>
      </cx:numDim>
    </cx:data>
    <cx:data id="1">
      <cx:numDim type="val">
        <cx:f>_xlchart.v1.367</cx:f>
      </cx:numDim>
    </cx:data>
    <cx:data id="2">
      <cx:numDim type="val">
        <cx:f>_xlchart.v1.369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ko-K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맑은 고딕" panose="020B0503020000020004" pitchFamily="34" charset="-127"/>
              </a:rPr>
              <a:t>Aib11</a:t>
            </a:r>
            <a:endParaRPr lang="ko-KR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맑은 고딕" panose="020B0503020000020004" pitchFamily="34" charset="-127"/>
            </a:endParaRPr>
          </a:p>
        </cx:rich>
      </cx:tx>
    </cx:title>
    <cx:plotArea>
      <cx:plotAreaRegion>
        <cx:series layoutId="boxWhisker" uniqueId="{B2BE777F-38E3-AA4B-AAF9-CDC8148DD688}">
          <cx:tx>
            <cx:txData>
              <cx:f>_xlchart.v1.370</cx:f>
              <cx:v>Ctrl</cx:v>
            </cx:txData>
          </cx:tx>
          <cx:dataId val="0"/>
          <cx:layoutPr>
            <cx:statistics quartileMethod="exclusive"/>
          </cx:layoutPr>
        </cx:series>
        <cx:series layoutId="boxWhisker" uniqueId="{E5FBE109-2D0B-A54F-9999-0745C092D3E7}">
          <cx:tx>
            <cx:txData>
              <cx:f>_xlchart.v1.366</cx:f>
              <cx:v>MCI</cx:v>
            </cx:txData>
          </cx:tx>
          <cx:dataId val="1"/>
          <cx:layoutPr>
            <cx:statistics quartileMethod="exclusive"/>
          </cx:layoutPr>
        </cx:series>
        <cx:series layoutId="boxWhisker" uniqueId="{AC57A287-4953-CA4D-B16C-DC4AE83CAA9C}">
          <cx:tx>
            <cx:txData>
              <cx:f>_xlchart.v1.368</cx:f>
              <cx:v>AD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14/relationships/chartEx" Target="../charts/chartEx19.xml"/><Relationship Id="rId3" Type="http://schemas.microsoft.com/office/2014/relationships/chartEx" Target="../charts/chartEx14.xml"/><Relationship Id="rId7" Type="http://schemas.microsoft.com/office/2014/relationships/chartEx" Target="../charts/chartEx18.xml"/><Relationship Id="rId2" Type="http://schemas.microsoft.com/office/2014/relationships/chartEx" Target="../charts/chartEx13.xml"/><Relationship Id="rId1" Type="http://schemas.microsoft.com/office/2014/relationships/chartEx" Target="../charts/chartEx12.xml"/><Relationship Id="rId6" Type="http://schemas.microsoft.com/office/2014/relationships/chartEx" Target="../charts/chartEx17.xml"/><Relationship Id="rId5" Type="http://schemas.microsoft.com/office/2014/relationships/chartEx" Target="../charts/chartEx16.xml"/><Relationship Id="rId4" Type="http://schemas.microsoft.com/office/2014/relationships/chartEx" Target="../charts/chartEx15.xml"/><Relationship Id="rId9" Type="http://schemas.microsoft.com/office/2014/relationships/chartEx" Target="../charts/chartEx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285750</xdr:colOff>
      <xdr:row>0</xdr:row>
      <xdr:rowOff>171450</xdr:rowOff>
    </xdr:from>
    <xdr:to>
      <xdr:col>39</xdr:col>
      <xdr:colOff>488950</xdr:colOff>
      <xdr:row>16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F4AF31A5-ED4B-37F2-38B6-E57C1E51C1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26250" y="171450"/>
              <a:ext cx="4013200" cy="394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39</xdr:col>
      <xdr:colOff>603250</xdr:colOff>
      <xdr:row>0</xdr:row>
      <xdr:rowOff>139700</xdr:rowOff>
    </xdr:from>
    <xdr:to>
      <xdr:col>43</xdr:col>
      <xdr:colOff>787400</xdr:colOff>
      <xdr:row>16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차트 2">
              <a:extLst>
                <a:ext uri="{FF2B5EF4-FFF2-40B4-BE49-F238E27FC236}">
                  <a16:creationId xmlns:a16="http://schemas.microsoft.com/office/drawing/2014/main" id="{EEB216B3-4DF5-0107-24AF-5D08514314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653750" y="139700"/>
              <a:ext cx="3994150" cy="395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43</xdr:col>
      <xdr:colOff>838200</xdr:colOff>
      <xdr:row>0</xdr:row>
      <xdr:rowOff>76200</xdr:rowOff>
    </xdr:from>
    <xdr:to>
      <xdr:col>48</xdr:col>
      <xdr:colOff>69850</xdr:colOff>
      <xdr:row>16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차트 3">
              <a:extLst>
                <a:ext uri="{FF2B5EF4-FFF2-40B4-BE49-F238E27FC236}">
                  <a16:creationId xmlns:a16="http://schemas.microsoft.com/office/drawing/2014/main" id="{C457C69F-22C7-B651-C887-760DA4F069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98700" y="76200"/>
              <a:ext cx="3994150" cy="395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48</xdr:col>
      <xdr:colOff>38100</xdr:colOff>
      <xdr:row>0</xdr:row>
      <xdr:rowOff>6350</xdr:rowOff>
    </xdr:from>
    <xdr:to>
      <xdr:col>52</xdr:col>
      <xdr:colOff>215900</xdr:colOff>
      <xdr:row>15</xdr:row>
      <xdr:rowOff>215900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차트 4">
              <a:extLst>
                <a:ext uri="{FF2B5EF4-FFF2-40B4-BE49-F238E27FC236}">
                  <a16:creationId xmlns:a16="http://schemas.microsoft.com/office/drawing/2014/main" id="{62D71A2E-B4A3-BF72-E34B-5787C2CA8C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61100" y="6350"/>
              <a:ext cx="3987800" cy="395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35</xdr:col>
      <xdr:colOff>323850</xdr:colOff>
      <xdr:row>16</xdr:row>
      <xdr:rowOff>209550</xdr:rowOff>
    </xdr:from>
    <xdr:to>
      <xdr:col>39</xdr:col>
      <xdr:colOff>533400</xdr:colOff>
      <xdr:row>34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차트 5">
              <a:extLst>
                <a:ext uri="{FF2B5EF4-FFF2-40B4-BE49-F238E27FC236}">
                  <a16:creationId xmlns:a16="http://schemas.microsoft.com/office/drawing/2014/main" id="{42AF5431-DC86-EED7-EF1C-125E0F64E8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64350" y="4178300"/>
              <a:ext cx="4019550" cy="394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39</xdr:col>
      <xdr:colOff>527050</xdr:colOff>
      <xdr:row>16</xdr:row>
      <xdr:rowOff>196850</xdr:rowOff>
    </xdr:from>
    <xdr:to>
      <xdr:col>43</xdr:col>
      <xdr:colOff>711200</xdr:colOff>
      <xdr:row>34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차트 6">
              <a:extLst>
                <a:ext uri="{FF2B5EF4-FFF2-40B4-BE49-F238E27FC236}">
                  <a16:creationId xmlns:a16="http://schemas.microsoft.com/office/drawing/2014/main" id="{9B199FAC-80E0-648A-8687-B7FDBC8A49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77550" y="4165600"/>
              <a:ext cx="3994150" cy="394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43</xdr:col>
      <xdr:colOff>787400</xdr:colOff>
      <xdr:row>16</xdr:row>
      <xdr:rowOff>76200</xdr:rowOff>
    </xdr:from>
    <xdr:to>
      <xdr:col>48</xdr:col>
      <xdr:colOff>12700</xdr:colOff>
      <xdr:row>34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차트 7">
              <a:extLst>
                <a:ext uri="{FF2B5EF4-FFF2-40B4-BE49-F238E27FC236}">
                  <a16:creationId xmlns:a16="http://schemas.microsoft.com/office/drawing/2014/main" id="{5384D832-7AAE-B474-9F3E-EE9C57B76B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647900" y="4044950"/>
              <a:ext cx="3987800" cy="394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48</xdr:col>
      <xdr:colOff>76200</xdr:colOff>
      <xdr:row>16</xdr:row>
      <xdr:rowOff>57150</xdr:rowOff>
    </xdr:from>
    <xdr:to>
      <xdr:col>52</xdr:col>
      <xdr:colOff>260350</xdr:colOff>
      <xdr:row>34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차트 8">
              <a:extLst>
                <a:ext uri="{FF2B5EF4-FFF2-40B4-BE49-F238E27FC236}">
                  <a16:creationId xmlns:a16="http://schemas.microsoft.com/office/drawing/2014/main" id="{B81345E2-EA6B-BCB0-B17A-A44423C0D9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99200" y="4025900"/>
              <a:ext cx="3994150" cy="394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52</xdr:col>
      <xdr:colOff>336550</xdr:colOff>
      <xdr:row>16</xdr:row>
      <xdr:rowOff>76200</xdr:rowOff>
    </xdr:from>
    <xdr:to>
      <xdr:col>56</xdr:col>
      <xdr:colOff>527050</xdr:colOff>
      <xdr:row>34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차트 9">
              <a:extLst>
                <a:ext uri="{FF2B5EF4-FFF2-40B4-BE49-F238E27FC236}">
                  <a16:creationId xmlns:a16="http://schemas.microsoft.com/office/drawing/2014/main" id="{3C50BA70-0D32-12C0-D66C-7FD9698CEF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69550" y="4044950"/>
              <a:ext cx="4000500" cy="394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58</xdr:col>
      <xdr:colOff>280426</xdr:colOff>
      <xdr:row>0</xdr:row>
      <xdr:rowOff>617591</xdr:rowOff>
    </xdr:from>
    <xdr:to>
      <xdr:col>63</xdr:col>
      <xdr:colOff>64526</xdr:colOff>
      <xdr:row>20</xdr:row>
      <xdr:rowOff>43018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차트 10">
              <a:extLst>
                <a:ext uri="{FF2B5EF4-FFF2-40B4-BE49-F238E27FC236}">
                  <a16:creationId xmlns:a16="http://schemas.microsoft.com/office/drawing/2014/main" id="{8001B6D3-377F-95D2-43C1-100DA94D7A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28426" y="617591"/>
              <a:ext cx="4546600" cy="42831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165100</xdr:colOff>
      <xdr:row>2</xdr:row>
      <xdr:rowOff>120650</xdr:rowOff>
    </xdr:from>
    <xdr:to>
      <xdr:col>11</xdr:col>
      <xdr:colOff>774700</xdr:colOff>
      <xdr:row>21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26343E90-5A9C-B770-5E4B-D784506D87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577850"/>
              <a:ext cx="6324600" cy="4413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31</xdr:row>
      <xdr:rowOff>19050</xdr:rowOff>
    </xdr:from>
    <xdr:to>
      <xdr:col>14</xdr:col>
      <xdr:colOff>393700</xdr:colOff>
      <xdr:row>42</xdr:row>
      <xdr:rowOff>222250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0484028-3D9C-AF51-C18A-9D08EB982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96</xdr:row>
      <xdr:rowOff>19050</xdr:rowOff>
    </xdr:from>
    <xdr:to>
      <xdr:col>6</xdr:col>
      <xdr:colOff>304800</xdr:colOff>
      <xdr:row>108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F0CFCE8C-0910-3C81-BE53-2F724F1BCE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" y="21977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6</xdr:col>
      <xdr:colOff>317500</xdr:colOff>
      <xdr:row>96</xdr:row>
      <xdr:rowOff>57150</xdr:rowOff>
    </xdr:from>
    <xdr:to>
      <xdr:col>11</xdr:col>
      <xdr:colOff>635000</xdr:colOff>
      <xdr:row>108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차트 3">
              <a:extLst>
                <a:ext uri="{FF2B5EF4-FFF2-40B4-BE49-F238E27FC236}">
                  <a16:creationId xmlns:a16="http://schemas.microsoft.com/office/drawing/2014/main" id="{B8219666-1944-F85D-8ED3-FEB7728794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8100" y="22015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10</xdr:col>
      <xdr:colOff>546100</xdr:colOff>
      <xdr:row>96</xdr:row>
      <xdr:rowOff>44450</xdr:rowOff>
    </xdr:from>
    <xdr:to>
      <xdr:col>16</xdr:col>
      <xdr:colOff>12700</xdr:colOff>
      <xdr:row>108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차트 4">
              <a:extLst>
                <a:ext uri="{FF2B5EF4-FFF2-40B4-BE49-F238E27FC236}">
                  <a16:creationId xmlns:a16="http://schemas.microsoft.com/office/drawing/2014/main" id="{40555C5E-94BC-5AF9-D5BC-06E541FD66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0300" y="22002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16</xdr:col>
      <xdr:colOff>25400</xdr:colOff>
      <xdr:row>96</xdr:row>
      <xdr:rowOff>69850</xdr:rowOff>
    </xdr:from>
    <xdr:to>
      <xdr:col>21</xdr:col>
      <xdr:colOff>342900</xdr:colOff>
      <xdr:row>108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차트 5">
              <a:extLst>
                <a:ext uri="{FF2B5EF4-FFF2-40B4-BE49-F238E27FC236}">
                  <a16:creationId xmlns:a16="http://schemas.microsoft.com/office/drawing/2014/main" id="{7A817450-4D39-D85C-02F0-0E2C80095C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00" y="220281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0</xdr:col>
      <xdr:colOff>533400</xdr:colOff>
      <xdr:row>108</xdr:row>
      <xdr:rowOff>82550</xdr:rowOff>
    </xdr:from>
    <xdr:to>
      <xdr:col>6</xdr:col>
      <xdr:colOff>304800</xdr:colOff>
      <xdr:row>120</xdr:row>
      <xdr:rowOff>82550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차트 6">
              <a:extLst>
                <a:ext uri="{FF2B5EF4-FFF2-40B4-BE49-F238E27FC236}">
                  <a16:creationId xmlns:a16="http://schemas.microsoft.com/office/drawing/2014/main" id="{E9669A3B-95EC-A580-43C7-7675294330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3400" y="24784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6</xdr:col>
      <xdr:colOff>317500</xdr:colOff>
      <xdr:row>108</xdr:row>
      <xdr:rowOff>95250</xdr:rowOff>
    </xdr:from>
    <xdr:to>
      <xdr:col>11</xdr:col>
      <xdr:colOff>635000</xdr:colOff>
      <xdr:row>120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차트 7">
              <a:extLst>
                <a:ext uri="{FF2B5EF4-FFF2-40B4-BE49-F238E27FC236}">
                  <a16:creationId xmlns:a16="http://schemas.microsoft.com/office/drawing/2014/main" id="{BA865FE3-96D6-2085-EA4C-361424D3A2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8100" y="24796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11</xdr:col>
      <xdr:colOff>685800</xdr:colOff>
      <xdr:row>108</xdr:row>
      <xdr:rowOff>95250</xdr:rowOff>
    </xdr:from>
    <xdr:to>
      <xdr:col>17</xdr:col>
      <xdr:colOff>152400</xdr:colOff>
      <xdr:row>120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차트 8">
              <a:extLst>
                <a:ext uri="{FF2B5EF4-FFF2-40B4-BE49-F238E27FC236}">
                  <a16:creationId xmlns:a16="http://schemas.microsoft.com/office/drawing/2014/main" id="{7A7B5083-2E23-ED73-C2A1-A303956858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40900" y="24796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17</xdr:col>
      <xdr:colOff>152400</xdr:colOff>
      <xdr:row>108</xdr:row>
      <xdr:rowOff>69850</xdr:rowOff>
    </xdr:from>
    <xdr:to>
      <xdr:col>22</xdr:col>
      <xdr:colOff>469900</xdr:colOff>
      <xdr:row>120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차트 9">
              <a:extLst>
                <a:ext uri="{FF2B5EF4-FFF2-40B4-BE49-F238E27FC236}">
                  <a16:creationId xmlns:a16="http://schemas.microsoft.com/office/drawing/2014/main" id="{BFEAEC17-7023-AD12-53C6-76E7C478BE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12900" y="24771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22</xdr:col>
      <xdr:colOff>508000</xdr:colOff>
      <xdr:row>108</xdr:row>
      <xdr:rowOff>107950</xdr:rowOff>
    </xdr:from>
    <xdr:to>
      <xdr:col>27</xdr:col>
      <xdr:colOff>723900</xdr:colOff>
      <xdr:row>120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차트 10">
              <a:extLst>
                <a:ext uri="{FF2B5EF4-FFF2-40B4-BE49-F238E27FC236}">
                  <a16:creationId xmlns:a16="http://schemas.microsoft.com/office/drawing/2014/main" id="{536352B1-7DBF-EF8B-73F2-B8A7EF8F81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23000" y="24809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D110-1B9C-1848-ABFF-F70689E64561}">
  <dimension ref="A1:BC161"/>
  <sheetViews>
    <sheetView topLeftCell="M1" workbookViewId="0">
      <selection activeCell="BC43" sqref="BC43"/>
    </sheetView>
  </sheetViews>
  <sheetFormatPr baseColWidth="10" defaultColWidth="7.5703125" defaultRowHeight="18"/>
  <cols>
    <col min="1" max="1" width="7.5703125" style="78"/>
    <col min="2" max="2" width="7.85546875" style="78" bestFit="1" customWidth="1"/>
    <col min="3" max="3" width="7.7109375" style="78" bestFit="1" customWidth="1"/>
    <col min="4" max="4" width="16.140625" style="78" bestFit="1" customWidth="1"/>
    <col min="5" max="5" width="22.28515625" style="78" bestFit="1" customWidth="1"/>
    <col min="6" max="6" width="6.42578125" style="78" bestFit="1" customWidth="1"/>
    <col min="7" max="7" width="8.5703125" style="78" bestFit="1" customWidth="1"/>
    <col min="8" max="9" width="7.5703125" style="78"/>
    <col min="10" max="10" width="7.85546875" style="78" bestFit="1" customWidth="1"/>
    <col min="11" max="11" width="7.5703125" style="78"/>
    <col min="12" max="12" width="18.140625" style="78" bestFit="1" customWidth="1"/>
    <col min="13" max="14" width="7.5703125" style="78"/>
    <col min="15" max="15" width="10.85546875" style="77" customWidth="1"/>
    <col min="16" max="16" width="7.5703125" style="78"/>
    <col min="17" max="21" width="7.85546875" style="78" bestFit="1" customWidth="1"/>
    <col min="22" max="22" width="7.5703125" style="78"/>
    <col min="23" max="24" width="7.85546875" style="78" bestFit="1" customWidth="1"/>
    <col min="25" max="26" width="7.5703125" style="78"/>
    <col min="27" max="42" width="7.85546875" style="78" bestFit="1" customWidth="1"/>
    <col min="43" max="43" width="7.5703125" style="78"/>
    <col min="44" max="52" width="7.85546875" style="78" bestFit="1" customWidth="1"/>
    <col min="53" max="54" width="7.5703125" style="78"/>
    <col min="55" max="55" width="13.85546875" style="78" bestFit="1" customWidth="1"/>
    <col min="56" max="16384" width="7.5703125" style="78"/>
  </cols>
  <sheetData>
    <row r="1" spans="1:55" ht="20">
      <c r="A1" s="76" t="s">
        <v>75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97" t="s">
        <v>608</v>
      </c>
      <c r="Q1" s="79" t="s">
        <v>76</v>
      </c>
      <c r="R1" s="79"/>
      <c r="S1" s="79"/>
      <c r="T1" s="79"/>
      <c r="U1" s="79"/>
      <c r="W1" s="80" t="s">
        <v>77</v>
      </c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R1" s="80" t="s">
        <v>78</v>
      </c>
      <c r="AS1" s="80"/>
      <c r="AT1" s="80"/>
      <c r="AU1" s="80"/>
      <c r="AV1" s="80"/>
      <c r="AW1" s="80"/>
      <c r="AX1" s="80"/>
      <c r="AY1" s="80"/>
      <c r="AZ1" s="80"/>
    </row>
    <row r="2" spans="1:55" ht="57">
      <c r="A2" s="81" t="s">
        <v>79</v>
      </c>
      <c r="B2" s="81" t="s">
        <v>80</v>
      </c>
      <c r="C2" s="81" t="s">
        <v>81</v>
      </c>
      <c r="D2" s="81" t="s">
        <v>82</v>
      </c>
      <c r="E2" s="81" t="s">
        <v>83</v>
      </c>
      <c r="F2" s="81" t="s">
        <v>84</v>
      </c>
      <c r="G2" s="81" t="s">
        <v>85</v>
      </c>
      <c r="H2" s="81" t="s">
        <v>86</v>
      </c>
      <c r="I2" s="81" t="s">
        <v>87</v>
      </c>
      <c r="J2" s="81" t="s">
        <v>88</v>
      </c>
      <c r="K2" s="81" t="s">
        <v>89</v>
      </c>
      <c r="L2" s="81" t="s">
        <v>90</v>
      </c>
      <c r="M2" s="81" t="s">
        <v>91</v>
      </c>
      <c r="N2" s="81" t="s">
        <v>92</v>
      </c>
      <c r="O2" s="98" t="s">
        <v>93</v>
      </c>
      <c r="P2" s="82"/>
      <c r="Q2" s="81" t="s">
        <v>94</v>
      </c>
      <c r="R2" s="81" t="s">
        <v>95</v>
      </c>
      <c r="S2" s="81" t="s">
        <v>96</v>
      </c>
      <c r="T2" s="81" t="s">
        <v>97</v>
      </c>
      <c r="U2" s="81" t="s">
        <v>98</v>
      </c>
      <c r="V2" s="81"/>
      <c r="W2" s="81" t="s">
        <v>64</v>
      </c>
      <c r="X2" s="81" t="s">
        <v>99</v>
      </c>
      <c r="Y2" s="81" t="s">
        <v>100</v>
      </c>
      <c r="Z2" s="81" t="s">
        <v>101</v>
      </c>
      <c r="AA2" s="81" t="s">
        <v>102</v>
      </c>
      <c r="AB2" s="81" t="s">
        <v>103</v>
      </c>
      <c r="AC2" s="81" t="s">
        <v>104</v>
      </c>
      <c r="AD2" s="81" t="s">
        <v>105</v>
      </c>
      <c r="AE2" s="81" t="s">
        <v>106</v>
      </c>
      <c r="AF2" s="81" t="s">
        <v>107</v>
      </c>
      <c r="AG2" s="81" t="s">
        <v>108</v>
      </c>
      <c r="AH2" s="81" t="s">
        <v>109</v>
      </c>
      <c r="AI2" s="81" t="s">
        <v>110</v>
      </c>
      <c r="AJ2" s="81" t="s">
        <v>111</v>
      </c>
      <c r="AK2" s="81" t="s">
        <v>112</v>
      </c>
      <c r="AL2" s="81" t="s">
        <v>113</v>
      </c>
      <c r="AM2" s="81" t="s">
        <v>114</v>
      </c>
      <c r="AN2" s="81" t="s">
        <v>115</v>
      </c>
      <c r="AO2" s="81" t="s">
        <v>116</v>
      </c>
      <c r="AP2" s="81" t="s">
        <v>117</v>
      </c>
      <c r="AQ2" s="82"/>
      <c r="AR2" s="81" t="s">
        <v>118</v>
      </c>
      <c r="AS2" s="81" t="s">
        <v>119</v>
      </c>
      <c r="AT2" s="81" t="s">
        <v>36</v>
      </c>
      <c r="AU2" s="81" t="s">
        <v>120</v>
      </c>
      <c r="AV2" s="81" t="s">
        <v>121</v>
      </c>
      <c r="AW2" s="81" t="s">
        <v>122</v>
      </c>
      <c r="AX2" s="81" t="s">
        <v>123</v>
      </c>
      <c r="AY2" s="81" t="s">
        <v>124</v>
      </c>
      <c r="AZ2" s="81" t="s">
        <v>125</v>
      </c>
      <c r="BA2" s="82"/>
      <c r="BB2" s="81" t="s">
        <v>126</v>
      </c>
      <c r="BC2" s="81" t="s">
        <v>45</v>
      </c>
    </row>
    <row r="3" spans="1:55">
      <c r="A3" s="83" t="s">
        <v>127</v>
      </c>
      <c r="B3" s="83"/>
      <c r="C3" s="83">
        <v>11</v>
      </c>
      <c r="D3" s="83" t="s">
        <v>128</v>
      </c>
      <c r="E3" s="83"/>
      <c r="F3" s="83"/>
      <c r="G3" s="83"/>
      <c r="H3" s="83" t="s">
        <v>129</v>
      </c>
      <c r="I3" s="83" t="s">
        <v>24</v>
      </c>
      <c r="J3" s="83">
        <v>57</v>
      </c>
      <c r="K3" s="83" t="s">
        <v>18</v>
      </c>
      <c r="L3" s="83"/>
      <c r="M3" s="83"/>
      <c r="N3" s="83"/>
      <c r="O3" s="99">
        <f>BC3</f>
        <v>1.6</v>
      </c>
      <c r="Q3" s="83">
        <v>15.2</v>
      </c>
      <c r="R3" s="83">
        <v>1.27</v>
      </c>
      <c r="S3" s="83">
        <v>0.42</v>
      </c>
      <c r="T3" s="83">
        <v>50</v>
      </c>
      <c r="U3" s="83" t="s">
        <v>130</v>
      </c>
      <c r="V3" s="83"/>
      <c r="W3" s="84">
        <v>26.25</v>
      </c>
      <c r="X3" s="84">
        <v>25.29</v>
      </c>
      <c r="Y3" s="84" t="s">
        <v>131</v>
      </c>
      <c r="Z3" s="84">
        <v>25.31</v>
      </c>
      <c r="AA3" s="84">
        <v>25.55</v>
      </c>
      <c r="AB3" s="84">
        <v>25.33</v>
      </c>
      <c r="AC3" s="84">
        <v>29.66</v>
      </c>
      <c r="AD3" s="84">
        <v>25.26</v>
      </c>
      <c r="AE3" s="84">
        <v>24.4</v>
      </c>
      <c r="AF3" s="84">
        <v>25.08</v>
      </c>
      <c r="AG3" s="84">
        <v>40</v>
      </c>
      <c r="AH3" s="84">
        <v>26.81</v>
      </c>
      <c r="AI3" s="84">
        <v>33.35</v>
      </c>
      <c r="AJ3" s="84">
        <v>26.77</v>
      </c>
      <c r="AK3" s="84">
        <v>40</v>
      </c>
      <c r="AL3" s="84">
        <v>26.9</v>
      </c>
      <c r="AM3" s="84">
        <v>33.090000000000003</v>
      </c>
      <c r="AN3" s="84">
        <v>27.02</v>
      </c>
      <c r="AO3" s="84">
        <v>38.57</v>
      </c>
      <c r="AP3" s="84">
        <v>26.81</v>
      </c>
      <c r="AQ3" s="85"/>
      <c r="AR3" s="84">
        <v>0.96000000000000085</v>
      </c>
      <c r="AS3" s="84">
        <v>0.22000000000000239</v>
      </c>
      <c r="AT3" s="84">
        <v>4.3999999999999986</v>
      </c>
      <c r="AU3" s="84">
        <v>-0.67999999999999972</v>
      </c>
      <c r="AV3" s="84">
        <v>13.19</v>
      </c>
      <c r="AW3" s="84">
        <v>6.5800000000000018</v>
      </c>
      <c r="AX3" s="84">
        <v>13.1</v>
      </c>
      <c r="AY3" s="84">
        <v>6.0700000000000038</v>
      </c>
      <c r="AZ3" s="84">
        <v>11.76</v>
      </c>
      <c r="BA3" s="85"/>
      <c r="BB3" s="83" t="s">
        <v>24</v>
      </c>
      <c r="BC3" s="83">
        <v>1.6</v>
      </c>
    </row>
    <row r="4" spans="1:55">
      <c r="A4" s="83" t="s">
        <v>127</v>
      </c>
      <c r="B4" s="83"/>
      <c r="C4" s="83">
        <v>12</v>
      </c>
      <c r="D4" s="83" t="s">
        <v>132</v>
      </c>
      <c r="E4" s="83"/>
      <c r="F4" s="83"/>
      <c r="G4" s="83"/>
      <c r="H4" s="83" t="s">
        <v>133</v>
      </c>
      <c r="I4" s="83" t="s">
        <v>24</v>
      </c>
      <c r="J4" s="83">
        <v>66</v>
      </c>
      <c r="K4" s="83" t="s">
        <v>20</v>
      </c>
      <c r="L4" s="83"/>
      <c r="M4" s="83"/>
      <c r="N4" s="83"/>
      <c r="O4" s="99">
        <f t="shared" ref="O4:O67" si="0">BC4</f>
        <v>1</v>
      </c>
      <c r="Q4" s="83">
        <v>11.5</v>
      </c>
      <c r="R4" s="83">
        <v>1.24</v>
      </c>
      <c r="S4" s="83">
        <v>0.38</v>
      </c>
      <c r="T4" s="83">
        <v>50</v>
      </c>
      <c r="U4" s="83" t="s">
        <v>134</v>
      </c>
      <c r="V4" s="83"/>
      <c r="W4" s="84">
        <v>26.83</v>
      </c>
      <c r="X4" s="84">
        <v>24.91</v>
      </c>
      <c r="Y4" s="84" t="s">
        <v>131</v>
      </c>
      <c r="Z4" s="84">
        <v>24.63</v>
      </c>
      <c r="AA4" s="84">
        <v>26.13</v>
      </c>
      <c r="AB4" s="84">
        <v>24.74</v>
      </c>
      <c r="AC4" s="84">
        <v>30.19</v>
      </c>
      <c r="AD4" s="84">
        <v>24.62</v>
      </c>
      <c r="AE4" s="84">
        <v>24.26</v>
      </c>
      <c r="AF4" s="84">
        <v>24.32</v>
      </c>
      <c r="AG4" s="84">
        <v>40</v>
      </c>
      <c r="AH4" s="84">
        <v>26.4</v>
      </c>
      <c r="AI4" s="84">
        <v>34.159999999999997</v>
      </c>
      <c r="AJ4" s="84">
        <v>26.32</v>
      </c>
      <c r="AK4" s="84">
        <v>39.53</v>
      </c>
      <c r="AL4" s="84">
        <v>26.37</v>
      </c>
      <c r="AM4" s="84">
        <v>33.950000000000003</v>
      </c>
      <c r="AN4" s="84">
        <v>26.4</v>
      </c>
      <c r="AO4" s="84">
        <v>39.07</v>
      </c>
      <c r="AP4" s="84">
        <v>26.28</v>
      </c>
      <c r="AQ4" s="85"/>
      <c r="AR4" s="84">
        <v>1.9199999999999979</v>
      </c>
      <c r="AS4" s="84">
        <v>1.390000000000001</v>
      </c>
      <c r="AT4" s="84">
        <v>5.57</v>
      </c>
      <c r="AU4" s="84">
        <v>-5.9999999999998721E-2</v>
      </c>
      <c r="AV4" s="84">
        <v>13.6</v>
      </c>
      <c r="AW4" s="84">
        <v>7.8399999999999963</v>
      </c>
      <c r="AX4" s="84">
        <v>13.16</v>
      </c>
      <c r="AY4" s="84">
        <v>7.5500000000000043</v>
      </c>
      <c r="AZ4" s="84">
        <v>12.79</v>
      </c>
      <c r="BA4" s="85"/>
      <c r="BB4" s="83" t="s">
        <v>24</v>
      </c>
      <c r="BC4" s="83">
        <v>1</v>
      </c>
    </row>
    <row r="5" spans="1:55">
      <c r="A5" s="83" t="s">
        <v>127</v>
      </c>
      <c r="B5" s="83"/>
      <c r="C5" s="83">
        <v>13</v>
      </c>
      <c r="D5" s="83" t="s">
        <v>135</v>
      </c>
      <c r="E5" s="83"/>
      <c r="F5" s="83"/>
      <c r="G5" s="83"/>
      <c r="H5" s="83" t="s">
        <v>136</v>
      </c>
      <c r="I5" s="83" t="s">
        <v>24</v>
      </c>
      <c r="J5" s="83">
        <v>62</v>
      </c>
      <c r="K5" s="83" t="s">
        <v>20</v>
      </c>
      <c r="L5" s="83"/>
      <c r="M5" s="83"/>
      <c r="N5" s="83"/>
      <c r="O5" s="99">
        <f t="shared" si="0"/>
        <v>1.2</v>
      </c>
      <c r="Q5" s="83">
        <v>10.9</v>
      </c>
      <c r="R5" s="83">
        <v>1.17</v>
      </c>
      <c r="S5" s="83">
        <v>0.35</v>
      </c>
      <c r="T5" s="83">
        <v>50</v>
      </c>
      <c r="U5" s="83" t="s">
        <v>137</v>
      </c>
      <c r="V5" s="83"/>
      <c r="W5" s="84">
        <v>27.6</v>
      </c>
      <c r="X5" s="84">
        <v>25.31</v>
      </c>
      <c r="Y5" s="84" t="s">
        <v>131</v>
      </c>
      <c r="Z5" s="84">
        <v>24.96</v>
      </c>
      <c r="AA5" s="84">
        <v>26.83</v>
      </c>
      <c r="AB5" s="84">
        <v>25.21</v>
      </c>
      <c r="AC5" s="84">
        <v>28.7</v>
      </c>
      <c r="AD5" s="84">
        <v>24.8</v>
      </c>
      <c r="AE5" s="84">
        <v>24.4</v>
      </c>
      <c r="AF5" s="84">
        <v>24.7</v>
      </c>
      <c r="AG5" s="84">
        <v>40</v>
      </c>
      <c r="AH5" s="84">
        <v>26.8</v>
      </c>
      <c r="AI5" s="84">
        <v>34.24</v>
      </c>
      <c r="AJ5" s="84">
        <v>26.71</v>
      </c>
      <c r="AK5" s="84">
        <v>40</v>
      </c>
      <c r="AL5" s="84">
        <v>26.78</v>
      </c>
      <c r="AM5" s="84">
        <v>34.020000000000003</v>
      </c>
      <c r="AN5" s="84">
        <v>26.88</v>
      </c>
      <c r="AO5" s="84">
        <v>40</v>
      </c>
      <c r="AP5" s="84">
        <v>26.58</v>
      </c>
      <c r="AQ5" s="85"/>
      <c r="AR5" s="84">
        <v>2.2900000000000031</v>
      </c>
      <c r="AS5" s="84">
        <v>1.619999999999997</v>
      </c>
      <c r="AT5" s="84">
        <v>3.899999999999999</v>
      </c>
      <c r="AU5" s="84">
        <v>-0.30000000000000071</v>
      </c>
      <c r="AV5" s="84">
        <v>13.2</v>
      </c>
      <c r="AW5" s="84">
        <v>7.5300000000000011</v>
      </c>
      <c r="AX5" s="84">
        <v>13.22</v>
      </c>
      <c r="AY5" s="84">
        <v>7.1400000000000041</v>
      </c>
      <c r="AZ5" s="84">
        <v>13.42</v>
      </c>
      <c r="BA5" s="85"/>
      <c r="BB5" s="83" t="s">
        <v>24</v>
      </c>
      <c r="BC5" s="83">
        <v>1.2</v>
      </c>
    </row>
    <row r="6" spans="1:55">
      <c r="A6" s="83" t="s">
        <v>127</v>
      </c>
      <c r="B6" s="83"/>
      <c r="C6" s="83">
        <v>14</v>
      </c>
      <c r="D6" s="83" t="s">
        <v>138</v>
      </c>
      <c r="E6" s="83"/>
      <c r="F6" s="83"/>
      <c r="G6" s="83"/>
      <c r="H6" s="83" t="s">
        <v>139</v>
      </c>
      <c r="I6" s="83" t="s">
        <v>24</v>
      </c>
      <c r="J6" s="83">
        <v>65</v>
      </c>
      <c r="K6" s="83" t="s">
        <v>18</v>
      </c>
      <c r="L6" s="83"/>
      <c r="M6" s="83"/>
      <c r="N6" s="83"/>
      <c r="O6" s="99">
        <f t="shared" si="0"/>
        <v>0.7</v>
      </c>
      <c r="Q6" s="83">
        <v>10.199999999999999</v>
      </c>
      <c r="R6" s="83">
        <v>1.18</v>
      </c>
      <c r="S6" s="83">
        <v>0.36</v>
      </c>
      <c r="T6" s="83">
        <v>50</v>
      </c>
      <c r="U6" s="83" t="s">
        <v>140</v>
      </c>
      <c r="V6" s="83"/>
      <c r="W6" s="84">
        <v>26.93</v>
      </c>
      <c r="X6" s="84">
        <v>24.84</v>
      </c>
      <c r="Y6" s="84" t="s">
        <v>131</v>
      </c>
      <c r="Z6" s="84">
        <v>24.71</v>
      </c>
      <c r="AA6" s="84">
        <v>26.47</v>
      </c>
      <c r="AB6" s="84">
        <v>24.79</v>
      </c>
      <c r="AC6" s="84">
        <v>32.619999999999997</v>
      </c>
      <c r="AD6" s="84">
        <v>24.71</v>
      </c>
      <c r="AE6" s="84">
        <v>25.37</v>
      </c>
      <c r="AF6" s="84">
        <v>24.47</v>
      </c>
      <c r="AG6" s="84">
        <v>40</v>
      </c>
      <c r="AH6" s="84">
        <v>26.32</v>
      </c>
      <c r="AI6" s="84">
        <v>34.28</v>
      </c>
      <c r="AJ6" s="84">
        <v>26.34</v>
      </c>
      <c r="AK6" s="84">
        <v>40</v>
      </c>
      <c r="AL6" s="84">
        <v>26.11</v>
      </c>
      <c r="AM6" s="84">
        <v>34.47</v>
      </c>
      <c r="AN6" s="84">
        <v>26.43</v>
      </c>
      <c r="AO6" s="84">
        <v>39.75</v>
      </c>
      <c r="AP6" s="84">
        <v>26.05</v>
      </c>
      <c r="AQ6" s="85"/>
      <c r="AR6" s="84">
        <v>2.09</v>
      </c>
      <c r="AS6" s="84">
        <v>1.68</v>
      </c>
      <c r="AT6" s="84">
        <v>7.9099999999999966</v>
      </c>
      <c r="AU6" s="84">
        <v>0.90000000000000213</v>
      </c>
      <c r="AV6" s="84">
        <v>13.68</v>
      </c>
      <c r="AW6" s="84">
        <v>7.9400000000000013</v>
      </c>
      <c r="AX6" s="84">
        <v>13.89</v>
      </c>
      <c r="AY6" s="84">
        <v>8.0399999999999991</v>
      </c>
      <c r="AZ6" s="84">
        <v>13.7</v>
      </c>
      <c r="BA6" s="85"/>
      <c r="BB6" s="83" t="s">
        <v>24</v>
      </c>
      <c r="BC6" s="83">
        <v>0.7</v>
      </c>
    </row>
    <row r="7" spans="1:55">
      <c r="A7" s="83" t="s">
        <v>127</v>
      </c>
      <c r="B7" s="83"/>
      <c r="C7" s="83">
        <v>15</v>
      </c>
      <c r="D7" s="83" t="s">
        <v>141</v>
      </c>
      <c r="E7" s="83"/>
      <c r="F7" s="83"/>
      <c r="G7" s="83"/>
      <c r="H7" s="83" t="s">
        <v>142</v>
      </c>
      <c r="I7" s="83" t="s">
        <v>24</v>
      </c>
      <c r="J7" s="83">
        <v>57</v>
      </c>
      <c r="K7" s="83" t="s">
        <v>18</v>
      </c>
      <c r="L7" s="83"/>
      <c r="M7" s="83"/>
      <c r="N7" s="83"/>
      <c r="O7" s="99">
        <f t="shared" si="0"/>
        <v>1.5</v>
      </c>
      <c r="Q7" s="83">
        <v>9.1999999999999993</v>
      </c>
      <c r="R7" s="83">
        <v>1.1399999999999999</v>
      </c>
      <c r="S7" s="83">
        <v>0.32</v>
      </c>
      <c r="T7" s="83">
        <v>50</v>
      </c>
      <c r="U7" s="83" t="s">
        <v>143</v>
      </c>
      <c r="V7" s="83"/>
      <c r="W7" s="84">
        <v>28.31</v>
      </c>
      <c r="X7" s="84">
        <v>25.05</v>
      </c>
      <c r="Y7" s="84" t="s">
        <v>131</v>
      </c>
      <c r="Z7" s="84">
        <v>25</v>
      </c>
      <c r="AA7" s="84">
        <v>27.33</v>
      </c>
      <c r="AB7" s="84">
        <v>24.89</v>
      </c>
      <c r="AC7" s="84">
        <v>30.84</v>
      </c>
      <c r="AD7" s="84">
        <v>24.95</v>
      </c>
      <c r="AE7" s="84">
        <v>25.23</v>
      </c>
      <c r="AF7" s="84">
        <v>24.86</v>
      </c>
      <c r="AG7" s="84">
        <v>40</v>
      </c>
      <c r="AH7" s="84">
        <v>26.61</v>
      </c>
      <c r="AI7" s="84">
        <v>37.07</v>
      </c>
      <c r="AJ7" s="84">
        <v>26.84</v>
      </c>
      <c r="AK7" s="84">
        <v>39.369999999999997</v>
      </c>
      <c r="AL7" s="84">
        <v>26.61</v>
      </c>
      <c r="AM7" s="84">
        <v>34.82</v>
      </c>
      <c r="AN7" s="84">
        <v>33.25</v>
      </c>
      <c r="AO7" s="84">
        <v>40</v>
      </c>
      <c r="AP7" s="84">
        <v>26.66</v>
      </c>
      <c r="AQ7" s="85"/>
      <c r="AR7" s="84">
        <v>3.259999999999998</v>
      </c>
      <c r="AS7" s="84">
        <v>2.4399999999999982</v>
      </c>
      <c r="AT7" s="84">
        <v>5.8900000000000006</v>
      </c>
      <c r="AU7" s="84">
        <v>0.37000000000000099</v>
      </c>
      <c r="AV7" s="84">
        <v>13.39</v>
      </c>
      <c r="AW7" s="84">
        <v>10.23</v>
      </c>
      <c r="AX7" s="84">
        <v>12.76</v>
      </c>
      <c r="AY7" s="84">
        <v>1.57</v>
      </c>
      <c r="AZ7" s="84">
        <v>13.34</v>
      </c>
      <c r="BA7" s="85"/>
      <c r="BB7" s="83" t="s">
        <v>24</v>
      </c>
      <c r="BC7" s="83">
        <v>1.5</v>
      </c>
    </row>
    <row r="8" spans="1:55">
      <c r="A8" s="83" t="s">
        <v>144</v>
      </c>
      <c r="B8" s="83"/>
      <c r="C8" s="83">
        <v>16</v>
      </c>
      <c r="D8" s="83" t="s">
        <v>145</v>
      </c>
      <c r="E8" s="83"/>
      <c r="F8" s="83"/>
      <c r="G8" s="83"/>
      <c r="H8" s="83" t="s">
        <v>146</v>
      </c>
      <c r="I8" s="83" t="s">
        <v>24</v>
      </c>
      <c r="J8" s="83">
        <v>67</v>
      </c>
      <c r="K8" s="83" t="s">
        <v>18</v>
      </c>
      <c r="L8" s="83"/>
      <c r="M8" s="83"/>
      <c r="N8" s="83"/>
      <c r="O8" s="99">
        <f t="shared" si="0"/>
        <v>2.2999999999999998</v>
      </c>
      <c r="Q8" s="83">
        <v>21</v>
      </c>
      <c r="R8" s="83">
        <v>1.33</v>
      </c>
      <c r="S8" s="83">
        <v>0.42</v>
      </c>
      <c r="T8" s="83">
        <v>50</v>
      </c>
      <c r="U8" s="83" t="s">
        <v>147</v>
      </c>
      <c r="V8" s="83"/>
      <c r="W8" s="84">
        <v>29.11</v>
      </c>
      <c r="X8" s="84">
        <v>26.3</v>
      </c>
      <c r="Y8" s="84" t="s">
        <v>131</v>
      </c>
      <c r="Z8" s="84">
        <v>26.29</v>
      </c>
      <c r="AA8" s="84">
        <v>28.55</v>
      </c>
      <c r="AB8" s="84">
        <v>26.32</v>
      </c>
      <c r="AC8" s="84">
        <v>28.72</v>
      </c>
      <c r="AD8" s="84">
        <v>26.02</v>
      </c>
      <c r="AE8" s="84">
        <v>24.35</v>
      </c>
      <c r="AF8" s="84">
        <v>26.04</v>
      </c>
      <c r="AG8" s="84">
        <v>40</v>
      </c>
      <c r="AH8" s="84">
        <v>27.94</v>
      </c>
      <c r="AI8" s="84">
        <v>38.409999999999997</v>
      </c>
      <c r="AJ8" s="84">
        <v>28.05</v>
      </c>
      <c r="AK8" s="84">
        <v>40</v>
      </c>
      <c r="AL8" s="84">
        <v>27.87</v>
      </c>
      <c r="AM8" s="84">
        <v>36.43</v>
      </c>
      <c r="AN8" s="84">
        <v>27.88</v>
      </c>
      <c r="AO8" s="84">
        <v>40</v>
      </c>
      <c r="AP8" s="84">
        <v>27.92</v>
      </c>
      <c r="AQ8" s="85"/>
      <c r="AR8" s="84">
        <v>2.8099999999999992</v>
      </c>
      <c r="AS8" s="84">
        <v>2.23</v>
      </c>
      <c r="AT8" s="84">
        <v>2.6999999999999988</v>
      </c>
      <c r="AU8" s="84">
        <v>-1.6899999999999979</v>
      </c>
      <c r="AV8" s="84">
        <v>12.06</v>
      </c>
      <c r="AW8" s="84">
        <v>10.36</v>
      </c>
      <c r="AX8" s="84">
        <v>12.13</v>
      </c>
      <c r="AY8" s="84">
        <v>8.5500000000000007</v>
      </c>
      <c r="AZ8" s="84">
        <v>12.08</v>
      </c>
      <c r="BA8" s="85"/>
      <c r="BB8" s="83" t="s">
        <v>24</v>
      </c>
      <c r="BC8" s="83">
        <v>2.2999999999999998</v>
      </c>
    </row>
    <row r="9" spans="1:55" s="88" customFormat="1" ht="17">
      <c r="A9" s="86" t="s">
        <v>144</v>
      </c>
      <c r="B9" s="86"/>
      <c r="C9" s="86">
        <v>17</v>
      </c>
      <c r="D9" s="86" t="s">
        <v>148</v>
      </c>
      <c r="E9" s="86"/>
      <c r="F9" s="86"/>
      <c r="G9" s="86"/>
      <c r="H9" s="86" t="s">
        <v>149</v>
      </c>
      <c r="I9" s="86" t="s">
        <v>24</v>
      </c>
      <c r="J9" s="86">
        <v>56</v>
      </c>
      <c r="K9" s="86" t="s">
        <v>18</v>
      </c>
      <c r="L9" s="86"/>
      <c r="M9" s="86"/>
      <c r="N9" s="86"/>
      <c r="O9" s="87">
        <f t="shared" si="0"/>
        <v>68.2</v>
      </c>
      <c r="Q9" s="86">
        <v>14</v>
      </c>
      <c r="R9" s="86">
        <v>1.25</v>
      </c>
      <c r="S9" s="86">
        <v>0.38</v>
      </c>
      <c r="T9" s="86">
        <v>50</v>
      </c>
      <c r="U9" s="86" t="s">
        <v>150</v>
      </c>
      <c r="V9" s="86"/>
      <c r="W9" s="89">
        <v>25.74</v>
      </c>
      <c r="X9" s="89">
        <v>25.8</v>
      </c>
      <c r="Y9" s="89" t="s">
        <v>131</v>
      </c>
      <c r="Z9" s="89">
        <v>25.93</v>
      </c>
      <c r="AA9" s="89">
        <v>25.22</v>
      </c>
      <c r="AB9" s="89">
        <v>25.96</v>
      </c>
      <c r="AC9" s="89">
        <v>25.9</v>
      </c>
      <c r="AD9" s="89">
        <v>25.21</v>
      </c>
      <c r="AE9" s="89">
        <v>23.96</v>
      </c>
      <c r="AF9" s="89">
        <v>25.57</v>
      </c>
      <c r="AG9" s="89">
        <v>37.78</v>
      </c>
      <c r="AH9" s="89">
        <v>27.21</v>
      </c>
      <c r="AI9" s="89">
        <v>31.11</v>
      </c>
      <c r="AJ9" s="89">
        <v>24.93</v>
      </c>
      <c r="AK9" s="89">
        <v>32.21</v>
      </c>
      <c r="AL9" s="89">
        <v>24.86</v>
      </c>
      <c r="AM9" s="89">
        <v>30.47</v>
      </c>
      <c r="AN9" s="89">
        <v>24.99</v>
      </c>
      <c r="AO9" s="89">
        <v>33.64</v>
      </c>
      <c r="AP9" s="89">
        <v>24.89</v>
      </c>
      <c r="AQ9" s="90"/>
      <c r="AR9" s="89">
        <v>-6.0000000000002267E-2</v>
      </c>
      <c r="AS9" s="89">
        <v>-0.74000000000000199</v>
      </c>
      <c r="AT9" s="89">
        <v>0.68999999999999773</v>
      </c>
      <c r="AU9" s="89">
        <v>-1.609999999999999</v>
      </c>
      <c r="AV9" s="89">
        <v>10.57</v>
      </c>
      <c r="AW9" s="89">
        <v>6.18</v>
      </c>
      <c r="AX9" s="89">
        <v>7.3500000000000014</v>
      </c>
      <c r="AY9" s="89">
        <v>5.48</v>
      </c>
      <c r="AZ9" s="89">
        <v>8.75</v>
      </c>
      <c r="BA9" s="90"/>
      <c r="BB9" s="86" t="s">
        <v>24</v>
      </c>
      <c r="BC9" s="86">
        <v>68.2</v>
      </c>
    </row>
    <row r="10" spans="1:55">
      <c r="A10" s="83" t="s">
        <v>144</v>
      </c>
      <c r="B10" s="83"/>
      <c r="C10" s="83">
        <v>18</v>
      </c>
      <c r="D10" s="83" t="s">
        <v>151</v>
      </c>
      <c r="E10" s="83"/>
      <c r="F10" s="83"/>
      <c r="G10" s="83"/>
      <c r="H10" s="83" t="s">
        <v>152</v>
      </c>
      <c r="I10" s="83" t="s">
        <v>24</v>
      </c>
      <c r="J10" s="83">
        <v>74</v>
      </c>
      <c r="K10" s="83" t="s">
        <v>18</v>
      </c>
      <c r="L10" s="83"/>
      <c r="M10" s="83"/>
      <c r="N10" s="83"/>
      <c r="O10" s="99">
        <f t="shared" si="0"/>
        <v>20.6</v>
      </c>
      <c r="Q10" s="83">
        <v>19.7</v>
      </c>
      <c r="R10" s="83">
        <v>1.3</v>
      </c>
      <c r="S10" s="83">
        <v>0.41</v>
      </c>
      <c r="T10" s="83">
        <v>50</v>
      </c>
      <c r="U10" s="83" t="s">
        <v>153</v>
      </c>
      <c r="V10" s="83"/>
      <c r="W10" s="84">
        <v>28.67</v>
      </c>
      <c r="X10" s="84">
        <v>26.85</v>
      </c>
      <c r="Y10" s="84" t="s">
        <v>131</v>
      </c>
      <c r="Z10" s="84">
        <v>26.99</v>
      </c>
      <c r="AA10" s="84">
        <v>27.64</v>
      </c>
      <c r="AB10" s="84">
        <v>26.95</v>
      </c>
      <c r="AC10" s="84">
        <v>27.9</v>
      </c>
      <c r="AD10" s="84">
        <v>26.43</v>
      </c>
      <c r="AE10" s="84">
        <v>25.3</v>
      </c>
      <c r="AF10" s="84">
        <v>26.58</v>
      </c>
      <c r="AG10" s="84">
        <v>40</v>
      </c>
      <c r="AH10" s="84">
        <v>28.65</v>
      </c>
      <c r="AI10" s="84">
        <v>35.15</v>
      </c>
      <c r="AJ10" s="84">
        <v>26.15</v>
      </c>
      <c r="AK10" s="84">
        <v>36.04</v>
      </c>
      <c r="AL10" s="84">
        <v>26.04</v>
      </c>
      <c r="AM10" s="84">
        <v>33.14</v>
      </c>
      <c r="AN10" s="84">
        <v>26.07</v>
      </c>
      <c r="AO10" s="84">
        <v>37.6</v>
      </c>
      <c r="AP10" s="84">
        <v>26.05</v>
      </c>
      <c r="AQ10" s="85"/>
      <c r="AR10" s="84">
        <v>1.82</v>
      </c>
      <c r="AS10" s="84">
        <v>0.69000000000000128</v>
      </c>
      <c r="AT10" s="84">
        <v>1.4699999999999991</v>
      </c>
      <c r="AU10" s="84">
        <v>-1.279999999999998</v>
      </c>
      <c r="AV10" s="84">
        <v>11.35</v>
      </c>
      <c r="AW10" s="84">
        <v>9</v>
      </c>
      <c r="AX10" s="84">
        <v>10</v>
      </c>
      <c r="AY10" s="84">
        <v>7.07</v>
      </c>
      <c r="AZ10" s="84">
        <v>11.55</v>
      </c>
      <c r="BA10" s="85"/>
      <c r="BB10" s="83" t="s">
        <v>24</v>
      </c>
      <c r="BC10" s="83">
        <v>20.6</v>
      </c>
    </row>
    <row r="11" spans="1:55">
      <c r="A11" s="83" t="s">
        <v>144</v>
      </c>
      <c r="B11" s="83"/>
      <c r="C11" s="83">
        <v>19</v>
      </c>
      <c r="D11" s="83" t="s">
        <v>154</v>
      </c>
      <c r="E11" s="83"/>
      <c r="F11" s="83"/>
      <c r="G11" s="83"/>
      <c r="H11" s="83" t="s">
        <v>155</v>
      </c>
      <c r="I11" s="83" t="s">
        <v>24</v>
      </c>
      <c r="J11" s="83">
        <v>58</v>
      </c>
      <c r="K11" s="83" t="s">
        <v>18</v>
      </c>
      <c r="L11" s="83"/>
      <c r="M11" s="83"/>
      <c r="N11" s="83"/>
      <c r="O11" s="99">
        <f t="shared" si="0"/>
        <v>21.7</v>
      </c>
      <c r="Q11" s="83">
        <v>13.2</v>
      </c>
      <c r="R11" s="83">
        <v>1.2</v>
      </c>
      <c r="S11" s="83">
        <v>0.35</v>
      </c>
      <c r="T11" s="83">
        <v>50</v>
      </c>
      <c r="U11" s="83" t="s">
        <v>156</v>
      </c>
      <c r="V11" s="83"/>
      <c r="W11" s="84">
        <v>28.27</v>
      </c>
      <c r="X11" s="84">
        <v>26.06</v>
      </c>
      <c r="Y11" s="84" t="s">
        <v>131</v>
      </c>
      <c r="Z11" s="84">
        <v>26.14</v>
      </c>
      <c r="AA11" s="84">
        <v>27.22</v>
      </c>
      <c r="AB11" s="84">
        <v>26.26</v>
      </c>
      <c r="AC11" s="84">
        <v>27.67</v>
      </c>
      <c r="AD11" s="84">
        <v>25.7</v>
      </c>
      <c r="AE11" s="84">
        <v>25.22</v>
      </c>
      <c r="AF11" s="84">
        <v>25.93</v>
      </c>
      <c r="AG11" s="84">
        <v>40</v>
      </c>
      <c r="AH11" s="84">
        <v>27.73</v>
      </c>
      <c r="AI11" s="84">
        <v>34.1</v>
      </c>
      <c r="AJ11" s="84">
        <v>25.39</v>
      </c>
      <c r="AK11" s="84">
        <v>34.659999999999997</v>
      </c>
      <c r="AL11" s="84">
        <v>25.4</v>
      </c>
      <c r="AM11" s="84">
        <v>33.58</v>
      </c>
      <c r="AN11" s="84">
        <v>25.46</v>
      </c>
      <c r="AO11" s="84">
        <v>36.83</v>
      </c>
      <c r="AP11" s="84">
        <v>25.34</v>
      </c>
      <c r="AQ11" s="85"/>
      <c r="AR11" s="84">
        <v>2.2100000000000009</v>
      </c>
      <c r="AS11" s="84">
        <v>0.9599999999999973</v>
      </c>
      <c r="AT11" s="84">
        <v>1.970000000000002</v>
      </c>
      <c r="AU11" s="84">
        <v>-0.71000000000000085</v>
      </c>
      <c r="AV11" s="84">
        <v>12.27</v>
      </c>
      <c r="AW11" s="84">
        <v>8.7100000000000009</v>
      </c>
      <c r="AX11" s="84">
        <v>9.259999999999998</v>
      </c>
      <c r="AY11" s="84">
        <v>8.1199999999999974</v>
      </c>
      <c r="AZ11" s="84">
        <v>11.49</v>
      </c>
      <c r="BA11" s="85"/>
      <c r="BB11" s="83" t="s">
        <v>24</v>
      </c>
      <c r="BC11" s="83">
        <v>21.7</v>
      </c>
    </row>
    <row r="12" spans="1:55">
      <c r="A12" s="83" t="s">
        <v>144</v>
      </c>
      <c r="B12" s="83"/>
      <c r="C12" s="83">
        <v>20</v>
      </c>
      <c r="D12" s="83" t="s">
        <v>157</v>
      </c>
      <c r="E12" s="83"/>
      <c r="F12" s="83"/>
      <c r="G12" s="83"/>
      <c r="H12" s="83" t="s">
        <v>158</v>
      </c>
      <c r="I12" s="83" t="s">
        <v>24</v>
      </c>
      <c r="J12" s="83">
        <v>68</v>
      </c>
      <c r="K12" s="83" t="s">
        <v>18</v>
      </c>
      <c r="L12" s="83"/>
      <c r="M12" s="83"/>
      <c r="N12" s="83"/>
      <c r="O12" s="99">
        <f t="shared" si="0"/>
        <v>15.8</v>
      </c>
      <c r="Q12" s="83">
        <v>15.1</v>
      </c>
      <c r="R12" s="83">
        <v>1.24</v>
      </c>
      <c r="S12" s="83">
        <v>0.36</v>
      </c>
      <c r="T12" s="83">
        <v>50</v>
      </c>
      <c r="U12" s="83" t="s">
        <v>159</v>
      </c>
      <c r="V12" s="83"/>
      <c r="W12" s="84">
        <v>27.94</v>
      </c>
      <c r="X12" s="84">
        <v>26.29</v>
      </c>
      <c r="Y12" s="84" t="s">
        <v>131</v>
      </c>
      <c r="Z12" s="84">
        <v>26.35</v>
      </c>
      <c r="AA12" s="84">
        <v>26.98</v>
      </c>
      <c r="AB12" s="84">
        <v>26.47</v>
      </c>
      <c r="AC12" s="84">
        <v>27.77</v>
      </c>
      <c r="AD12" s="84">
        <v>25.89</v>
      </c>
      <c r="AE12" s="84">
        <v>24.27</v>
      </c>
      <c r="AF12" s="84">
        <v>26.07</v>
      </c>
      <c r="AG12" s="84">
        <v>40</v>
      </c>
      <c r="AH12" s="84">
        <v>28.15</v>
      </c>
      <c r="AI12" s="84">
        <v>38.43</v>
      </c>
      <c r="AJ12" s="84">
        <v>25.78</v>
      </c>
      <c r="AK12" s="84">
        <v>36.67</v>
      </c>
      <c r="AL12" s="84">
        <v>25.57</v>
      </c>
      <c r="AM12" s="84">
        <v>34.97</v>
      </c>
      <c r="AN12" s="84">
        <v>25.76</v>
      </c>
      <c r="AO12" s="84">
        <v>40</v>
      </c>
      <c r="AP12" s="84">
        <v>25.6</v>
      </c>
      <c r="AQ12" s="85"/>
      <c r="AR12" s="84">
        <v>1.6500000000000019</v>
      </c>
      <c r="AS12" s="84">
        <v>0.51000000000000156</v>
      </c>
      <c r="AT12" s="84">
        <v>1.879999999999999</v>
      </c>
      <c r="AU12" s="84">
        <v>-1.8000000000000009</v>
      </c>
      <c r="AV12" s="84">
        <v>11.85</v>
      </c>
      <c r="AW12" s="84">
        <v>12.65</v>
      </c>
      <c r="AX12" s="84">
        <v>11.1</v>
      </c>
      <c r="AY12" s="84">
        <v>9.2099999999999973</v>
      </c>
      <c r="AZ12" s="84">
        <v>14.4</v>
      </c>
      <c r="BA12" s="85"/>
      <c r="BB12" s="83" t="s">
        <v>24</v>
      </c>
      <c r="BC12" s="83">
        <v>15.8</v>
      </c>
    </row>
    <row r="13" spans="1:55" s="88" customFormat="1" ht="17">
      <c r="A13" s="86" t="s">
        <v>127</v>
      </c>
      <c r="B13" s="86"/>
      <c r="C13" s="86">
        <v>1</v>
      </c>
      <c r="D13" s="86" t="s">
        <v>160</v>
      </c>
      <c r="E13" s="86"/>
      <c r="F13" s="86" t="s">
        <v>161</v>
      </c>
      <c r="G13" s="86">
        <v>472393</v>
      </c>
      <c r="H13" s="86" t="s">
        <v>162</v>
      </c>
      <c r="I13" s="86" t="s">
        <v>21</v>
      </c>
      <c r="J13" s="86">
        <v>63</v>
      </c>
      <c r="K13" s="86" t="s">
        <v>20</v>
      </c>
      <c r="L13" s="86">
        <v>19</v>
      </c>
      <c r="M13" s="86">
        <v>4</v>
      </c>
      <c r="N13" s="86">
        <v>9</v>
      </c>
      <c r="O13" s="87">
        <f t="shared" si="0"/>
        <v>13.2</v>
      </c>
      <c r="Q13" s="86">
        <v>14.2</v>
      </c>
      <c r="R13" s="86">
        <v>1.26</v>
      </c>
      <c r="S13" s="86">
        <v>0.42</v>
      </c>
      <c r="T13" s="86">
        <v>50</v>
      </c>
      <c r="U13" s="86" t="s">
        <v>163</v>
      </c>
      <c r="V13" s="86"/>
      <c r="W13" s="89">
        <v>29.15</v>
      </c>
      <c r="X13" s="89">
        <v>25.8</v>
      </c>
      <c r="Y13" s="89" t="s">
        <v>131</v>
      </c>
      <c r="Z13" s="89">
        <v>26.28</v>
      </c>
      <c r="AA13" s="89">
        <v>27.66</v>
      </c>
      <c r="AB13" s="89">
        <v>25.72</v>
      </c>
      <c r="AC13" s="89">
        <v>29.25</v>
      </c>
      <c r="AD13" s="89">
        <v>26</v>
      </c>
      <c r="AE13" s="89">
        <v>25.63</v>
      </c>
      <c r="AF13" s="89">
        <v>26.16</v>
      </c>
      <c r="AG13" s="89">
        <v>40</v>
      </c>
      <c r="AH13" s="89">
        <v>27.57</v>
      </c>
      <c r="AI13" s="89">
        <v>37.9</v>
      </c>
      <c r="AJ13" s="89">
        <v>25.19</v>
      </c>
      <c r="AK13" s="89">
        <v>35.369999999999997</v>
      </c>
      <c r="AL13" s="89">
        <v>25.01</v>
      </c>
      <c r="AM13" s="89">
        <v>35.200000000000003</v>
      </c>
      <c r="AN13" s="89">
        <v>25.16</v>
      </c>
      <c r="AO13" s="89">
        <v>39.4</v>
      </c>
      <c r="AP13" s="89">
        <v>25.12</v>
      </c>
      <c r="AQ13" s="90"/>
      <c r="AR13" s="89">
        <v>3.3499999999999979</v>
      </c>
      <c r="AS13" s="89">
        <v>1.9400000000000011</v>
      </c>
      <c r="AT13" s="89">
        <v>3.25</v>
      </c>
      <c r="AU13" s="89">
        <v>-0.53000000000000114</v>
      </c>
      <c r="AV13" s="89">
        <v>12.43</v>
      </c>
      <c r="AW13" s="89">
        <v>12.71</v>
      </c>
      <c r="AX13" s="89">
        <v>10.36</v>
      </c>
      <c r="AY13" s="89">
        <v>10.039999999999999</v>
      </c>
      <c r="AZ13" s="89">
        <v>14.28</v>
      </c>
      <c r="BA13" s="90"/>
      <c r="BB13" s="86" t="s">
        <v>21</v>
      </c>
      <c r="BC13" s="86">
        <v>13.2</v>
      </c>
    </row>
    <row r="14" spans="1:55">
      <c r="A14" s="83" t="s">
        <v>127</v>
      </c>
      <c r="B14" s="83"/>
      <c r="C14" s="83">
        <v>2</v>
      </c>
      <c r="D14" s="83" t="s">
        <v>164</v>
      </c>
      <c r="E14" s="83"/>
      <c r="F14" s="83" t="s">
        <v>165</v>
      </c>
      <c r="G14" s="83">
        <v>70102639</v>
      </c>
      <c r="H14" s="83" t="s">
        <v>166</v>
      </c>
      <c r="I14" s="83" t="s">
        <v>21</v>
      </c>
      <c r="J14" s="83">
        <v>70</v>
      </c>
      <c r="K14" s="83" t="s">
        <v>20</v>
      </c>
      <c r="L14" s="83">
        <v>26</v>
      </c>
      <c r="M14" s="83">
        <v>3</v>
      </c>
      <c r="N14" s="83">
        <v>6</v>
      </c>
      <c r="O14" s="99">
        <f t="shared" si="0"/>
        <v>92.6</v>
      </c>
      <c r="Q14" s="83">
        <v>9.6999999999999993</v>
      </c>
      <c r="R14" s="83">
        <v>1.1499999999999999</v>
      </c>
      <c r="S14" s="83">
        <v>0.37</v>
      </c>
      <c r="T14" s="83">
        <v>50</v>
      </c>
      <c r="U14" s="83" t="s">
        <v>167</v>
      </c>
      <c r="V14" s="83"/>
      <c r="W14" s="84">
        <v>25.08</v>
      </c>
      <c r="X14" s="84">
        <v>26.99</v>
      </c>
      <c r="Y14" s="84" t="s">
        <v>131</v>
      </c>
      <c r="Z14" s="84">
        <v>27.43</v>
      </c>
      <c r="AA14" s="84">
        <v>23.95</v>
      </c>
      <c r="AB14" s="84">
        <v>26.9</v>
      </c>
      <c r="AC14" s="84">
        <v>28.01</v>
      </c>
      <c r="AD14" s="84">
        <v>26.89</v>
      </c>
      <c r="AE14" s="84">
        <v>23.88</v>
      </c>
      <c r="AF14" s="84">
        <v>27.19</v>
      </c>
      <c r="AG14" s="84">
        <v>37.81</v>
      </c>
      <c r="AH14" s="84">
        <v>28.65</v>
      </c>
      <c r="AI14" s="84">
        <v>30.98</v>
      </c>
      <c r="AJ14" s="84">
        <v>26.27</v>
      </c>
      <c r="AK14" s="84">
        <v>32.08</v>
      </c>
      <c r="AL14" s="84">
        <v>26.09</v>
      </c>
      <c r="AM14" s="84">
        <v>29.37</v>
      </c>
      <c r="AN14" s="84">
        <v>25.84</v>
      </c>
      <c r="AO14" s="84">
        <v>33.090000000000003</v>
      </c>
      <c r="AP14" s="84">
        <v>25.96</v>
      </c>
      <c r="AQ14" s="85"/>
      <c r="AR14" s="84">
        <v>-1.91</v>
      </c>
      <c r="AS14" s="84">
        <v>-2.9499999999999988</v>
      </c>
      <c r="AT14" s="84">
        <v>1.120000000000001</v>
      </c>
      <c r="AU14" s="84">
        <v>-3.3100000000000018</v>
      </c>
      <c r="AV14" s="84">
        <v>9.1600000000000037</v>
      </c>
      <c r="AW14" s="84">
        <v>4.7100000000000009</v>
      </c>
      <c r="AX14" s="84">
        <v>5.9899999999999984</v>
      </c>
      <c r="AY14" s="84">
        <v>3.5300000000000011</v>
      </c>
      <c r="AZ14" s="84">
        <v>7.1300000000000026</v>
      </c>
      <c r="BA14" s="85"/>
      <c r="BB14" s="83" t="s">
        <v>21</v>
      </c>
      <c r="BC14" s="83">
        <v>92.6</v>
      </c>
    </row>
    <row r="15" spans="1:55">
      <c r="A15" s="83" t="s">
        <v>127</v>
      </c>
      <c r="B15" s="83"/>
      <c r="C15" s="83">
        <v>3</v>
      </c>
      <c r="D15" s="83" t="s">
        <v>168</v>
      </c>
      <c r="E15" s="83"/>
      <c r="F15" s="83" t="s">
        <v>169</v>
      </c>
      <c r="G15" s="83">
        <v>37509</v>
      </c>
      <c r="H15" s="83" t="s">
        <v>170</v>
      </c>
      <c r="I15" s="83" t="s">
        <v>21</v>
      </c>
      <c r="J15" s="83">
        <v>75</v>
      </c>
      <c r="K15" s="83" t="s">
        <v>20</v>
      </c>
      <c r="L15" s="83">
        <v>19</v>
      </c>
      <c r="M15" s="83">
        <v>4</v>
      </c>
      <c r="N15" s="83">
        <v>9</v>
      </c>
      <c r="O15" s="99">
        <f t="shared" si="0"/>
        <v>97.3</v>
      </c>
      <c r="Q15" s="83">
        <v>10.6</v>
      </c>
      <c r="R15" s="83">
        <v>1.1499999999999999</v>
      </c>
      <c r="S15" s="83">
        <v>0.34</v>
      </c>
      <c r="T15" s="83">
        <v>50</v>
      </c>
      <c r="U15" s="83" t="s">
        <v>171</v>
      </c>
      <c r="V15" s="83"/>
      <c r="W15" s="84">
        <v>26.76</v>
      </c>
      <c r="X15" s="84">
        <v>25.63</v>
      </c>
      <c r="Y15" s="84" t="s">
        <v>131</v>
      </c>
      <c r="Z15" s="84">
        <v>26.08</v>
      </c>
      <c r="AA15" s="84">
        <v>25.66</v>
      </c>
      <c r="AB15" s="84">
        <v>25.56</v>
      </c>
      <c r="AC15" s="84">
        <v>28.04</v>
      </c>
      <c r="AD15" s="84">
        <v>25.63</v>
      </c>
      <c r="AE15" s="84">
        <v>24.33</v>
      </c>
      <c r="AF15" s="84">
        <v>25.73</v>
      </c>
      <c r="AG15" s="84">
        <v>35.32</v>
      </c>
      <c r="AH15" s="84">
        <v>27.14</v>
      </c>
      <c r="AI15" s="84">
        <v>30.54</v>
      </c>
      <c r="AJ15" s="84">
        <v>24.75</v>
      </c>
      <c r="AK15" s="84">
        <v>28.42</v>
      </c>
      <c r="AL15" s="84">
        <v>24.7</v>
      </c>
      <c r="AM15" s="84">
        <v>30.59</v>
      </c>
      <c r="AN15" s="84">
        <v>24.93</v>
      </c>
      <c r="AO15" s="84">
        <v>33.119999999999997</v>
      </c>
      <c r="AP15" s="84">
        <v>24.76</v>
      </c>
      <c r="AQ15" s="85"/>
      <c r="AR15" s="84">
        <v>1.130000000000003</v>
      </c>
      <c r="AS15" s="84">
        <v>0.10000000000000139</v>
      </c>
      <c r="AT15" s="84">
        <v>2.41</v>
      </c>
      <c r="AU15" s="84">
        <v>-1.4000000000000019</v>
      </c>
      <c r="AV15" s="84">
        <v>8.18</v>
      </c>
      <c r="AW15" s="84">
        <v>5.7899999999999991</v>
      </c>
      <c r="AX15" s="84">
        <v>3.720000000000002</v>
      </c>
      <c r="AY15" s="84">
        <v>5.66</v>
      </c>
      <c r="AZ15" s="84">
        <v>8.3599999999999959</v>
      </c>
      <c r="BA15" s="85"/>
      <c r="BB15" s="83" t="s">
        <v>21</v>
      </c>
      <c r="BC15" s="83">
        <v>97.3</v>
      </c>
    </row>
    <row r="16" spans="1:55">
      <c r="A16" s="83" t="s">
        <v>127</v>
      </c>
      <c r="B16" s="83"/>
      <c r="C16" s="83">
        <v>4</v>
      </c>
      <c r="D16" s="83" t="s">
        <v>172</v>
      </c>
      <c r="E16" s="83"/>
      <c r="F16" s="83" t="s">
        <v>173</v>
      </c>
      <c r="G16" s="83">
        <v>829081</v>
      </c>
      <c r="H16" s="83" t="s">
        <v>174</v>
      </c>
      <c r="I16" s="83" t="s">
        <v>21</v>
      </c>
      <c r="J16" s="83">
        <v>75</v>
      </c>
      <c r="K16" s="83" t="s">
        <v>20</v>
      </c>
      <c r="L16" s="83">
        <v>17</v>
      </c>
      <c r="M16" s="83">
        <v>5</v>
      </c>
      <c r="N16" s="83">
        <v>0</v>
      </c>
      <c r="O16" s="99">
        <f t="shared" si="0"/>
        <v>99.9</v>
      </c>
      <c r="Q16" s="83">
        <v>11.9</v>
      </c>
      <c r="R16" s="83">
        <v>1.21</v>
      </c>
      <c r="S16" s="83">
        <v>0.38</v>
      </c>
      <c r="T16" s="83">
        <v>50</v>
      </c>
      <c r="U16" s="83" t="s">
        <v>175</v>
      </c>
      <c r="V16" s="83"/>
      <c r="W16" s="84">
        <v>23.36</v>
      </c>
      <c r="X16" s="84">
        <v>27.37</v>
      </c>
      <c r="Y16" s="84" t="s">
        <v>131</v>
      </c>
      <c r="Z16" s="84">
        <v>27.66</v>
      </c>
      <c r="AA16" s="84">
        <v>22.91</v>
      </c>
      <c r="AB16" s="84">
        <v>27.35</v>
      </c>
      <c r="AC16" s="84">
        <v>28.23</v>
      </c>
      <c r="AD16" s="84">
        <v>27.1</v>
      </c>
      <c r="AE16" s="84">
        <v>25.06</v>
      </c>
      <c r="AF16" s="84">
        <v>27.4</v>
      </c>
      <c r="AG16" s="84">
        <v>32.93</v>
      </c>
      <c r="AH16" s="84">
        <v>28.94</v>
      </c>
      <c r="AI16" s="84">
        <v>26.03</v>
      </c>
      <c r="AJ16" s="84">
        <v>25.97</v>
      </c>
      <c r="AK16" s="84">
        <v>28.33</v>
      </c>
      <c r="AL16" s="84">
        <v>26.17</v>
      </c>
      <c r="AM16" s="84">
        <v>26.44</v>
      </c>
      <c r="AN16" s="84">
        <v>25.66</v>
      </c>
      <c r="AO16" s="84">
        <v>28.74</v>
      </c>
      <c r="AP16" s="84">
        <v>26</v>
      </c>
      <c r="AQ16" s="85"/>
      <c r="AR16" s="84">
        <v>-4.0100000000000016</v>
      </c>
      <c r="AS16" s="84">
        <v>-4.4400000000000013</v>
      </c>
      <c r="AT16" s="84">
        <v>1.129999999999999</v>
      </c>
      <c r="AU16" s="84">
        <v>-2.34</v>
      </c>
      <c r="AV16" s="84">
        <v>3.989999999999998</v>
      </c>
      <c r="AW16" s="84">
        <v>6.0000000000002267E-2</v>
      </c>
      <c r="AX16" s="84">
        <v>2.159999999999997</v>
      </c>
      <c r="AY16" s="84">
        <v>0.78000000000000114</v>
      </c>
      <c r="AZ16" s="84">
        <v>2.739999999999998</v>
      </c>
      <c r="BA16" s="85"/>
      <c r="BB16" s="83" t="s">
        <v>21</v>
      </c>
      <c r="BC16" s="83">
        <v>99.9</v>
      </c>
    </row>
    <row r="17" spans="1:55">
      <c r="A17" s="83" t="s">
        <v>127</v>
      </c>
      <c r="B17" s="83"/>
      <c r="C17" s="83">
        <v>5</v>
      </c>
      <c r="D17" s="83" t="s">
        <v>176</v>
      </c>
      <c r="E17" s="83"/>
      <c r="F17" s="83" t="s">
        <v>177</v>
      </c>
      <c r="G17" s="83">
        <v>668764</v>
      </c>
      <c r="H17" s="83" t="s">
        <v>178</v>
      </c>
      <c r="I17" s="83" t="s">
        <v>21</v>
      </c>
      <c r="J17" s="83">
        <v>77</v>
      </c>
      <c r="K17" s="83" t="s">
        <v>20</v>
      </c>
      <c r="L17" s="83">
        <v>24</v>
      </c>
      <c r="M17" s="83">
        <v>3</v>
      </c>
      <c r="N17" s="83">
        <v>0</v>
      </c>
      <c r="O17" s="99">
        <f t="shared" si="0"/>
        <v>100</v>
      </c>
      <c r="Q17" s="83">
        <v>9.3000000000000007</v>
      </c>
      <c r="R17" s="83">
        <v>1.17</v>
      </c>
      <c r="S17" s="83">
        <v>0.36</v>
      </c>
      <c r="T17" s="83">
        <v>50</v>
      </c>
      <c r="U17" s="83" t="s">
        <v>179</v>
      </c>
      <c r="V17" s="83"/>
      <c r="W17" s="84">
        <v>26.83</v>
      </c>
      <c r="X17" s="84">
        <v>29.51</v>
      </c>
      <c r="Y17" s="84" t="s">
        <v>131</v>
      </c>
      <c r="Z17" s="84">
        <v>29.65</v>
      </c>
      <c r="AA17" s="84">
        <v>25.97</v>
      </c>
      <c r="AB17" s="84">
        <v>29.4</v>
      </c>
      <c r="AC17" s="84">
        <v>29.49</v>
      </c>
      <c r="AD17" s="84">
        <v>29.07</v>
      </c>
      <c r="AE17" s="84">
        <v>23.08</v>
      </c>
      <c r="AF17" s="84">
        <v>30.78</v>
      </c>
      <c r="AG17" s="84">
        <v>33.67</v>
      </c>
      <c r="AH17" s="84">
        <v>30.63</v>
      </c>
      <c r="AI17" s="84">
        <v>28.29</v>
      </c>
      <c r="AJ17" s="84">
        <v>27.75</v>
      </c>
      <c r="AK17" s="84">
        <v>27.43</v>
      </c>
      <c r="AL17" s="84">
        <v>27.79</v>
      </c>
      <c r="AM17" s="84">
        <v>28.49</v>
      </c>
      <c r="AN17" s="84">
        <v>27.4</v>
      </c>
      <c r="AO17" s="84">
        <v>30.66</v>
      </c>
      <c r="AP17" s="84">
        <v>27.73</v>
      </c>
      <c r="AQ17" s="85"/>
      <c r="AR17" s="84">
        <v>-2.6800000000000028</v>
      </c>
      <c r="AS17" s="84">
        <v>-3.43</v>
      </c>
      <c r="AT17" s="84">
        <v>0.41999999999999821</v>
      </c>
      <c r="AU17" s="84">
        <v>-7.7000000000000028</v>
      </c>
      <c r="AV17" s="84">
        <v>3.0400000000000031</v>
      </c>
      <c r="AW17" s="84">
        <v>0.53999999999999915</v>
      </c>
      <c r="AX17" s="84">
        <v>-0.35999999999999938</v>
      </c>
      <c r="AY17" s="84">
        <v>1.0900000000000001</v>
      </c>
      <c r="AZ17" s="84">
        <v>2.93</v>
      </c>
      <c r="BA17" s="85"/>
      <c r="BB17" s="83" t="s">
        <v>21</v>
      </c>
      <c r="BC17" s="83">
        <v>100</v>
      </c>
    </row>
    <row r="18" spans="1:55">
      <c r="A18" s="83" t="s">
        <v>144</v>
      </c>
      <c r="B18" s="83"/>
      <c r="C18" s="83">
        <v>6</v>
      </c>
      <c r="D18" s="83" t="s">
        <v>180</v>
      </c>
      <c r="E18" s="83"/>
      <c r="F18" s="83" t="s">
        <v>181</v>
      </c>
      <c r="G18" s="83"/>
      <c r="H18" s="83" t="s">
        <v>182</v>
      </c>
      <c r="I18" s="83" t="s">
        <v>21</v>
      </c>
      <c r="J18" s="83">
        <v>73</v>
      </c>
      <c r="K18" s="83" t="s">
        <v>20</v>
      </c>
      <c r="L18" s="83"/>
      <c r="M18" s="83"/>
      <c r="N18" s="83"/>
      <c r="O18" s="99">
        <f t="shared" si="0"/>
        <v>97.6</v>
      </c>
      <c r="Q18" s="83">
        <v>16.5</v>
      </c>
      <c r="R18" s="83">
        <v>1.29</v>
      </c>
      <c r="S18" s="83">
        <v>0.4</v>
      </c>
      <c r="T18" s="83">
        <v>50</v>
      </c>
      <c r="U18" s="83" t="s">
        <v>183</v>
      </c>
      <c r="V18" s="83"/>
      <c r="W18" s="84">
        <v>25.53</v>
      </c>
      <c r="X18" s="84">
        <v>27.32</v>
      </c>
      <c r="Y18" s="84" t="s">
        <v>131</v>
      </c>
      <c r="Z18" s="84">
        <v>27.37</v>
      </c>
      <c r="AA18" s="84">
        <v>24.96</v>
      </c>
      <c r="AB18" s="84">
        <v>27.27</v>
      </c>
      <c r="AC18" s="84">
        <v>27.58</v>
      </c>
      <c r="AD18" s="84">
        <v>27.02</v>
      </c>
      <c r="AE18" s="84">
        <v>24.84</v>
      </c>
      <c r="AF18" s="84">
        <v>27</v>
      </c>
      <c r="AG18" s="84">
        <v>36.950000000000003</v>
      </c>
      <c r="AH18" s="84">
        <v>28.97</v>
      </c>
      <c r="AI18" s="84">
        <v>29.27</v>
      </c>
      <c r="AJ18" s="84">
        <v>26.52</v>
      </c>
      <c r="AK18" s="84">
        <v>30.77</v>
      </c>
      <c r="AL18" s="84">
        <v>26.4</v>
      </c>
      <c r="AM18" s="84">
        <v>29.37</v>
      </c>
      <c r="AN18" s="84">
        <v>26.3</v>
      </c>
      <c r="AO18" s="84">
        <v>32.35</v>
      </c>
      <c r="AP18" s="84">
        <v>26.44</v>
      </c>
      <c r="AQ18" s="85"/>
      <c r="AR18" s="84">
        <v>-1.7899999999999989</v>
      </c>
      <c r="AS18" s="84">
        <v>-2.3099999999999992</v>
      </c>
      <c r="AT18" s="84">
        <v>0.55999999999999872</v>
      </c>
      <c r="AU18" s="84">
        <v>-2.16</v>
      </c>
      <c r="AV18" s="84">
        <v>7.980000000000004</v>
      </c>
      <c r="AW18" s="84">
        <v>2.75</v>
      </c>
      <c r="AX18" s="84">
        <v>4.370000000000001</v>
      </c>
      <c r="AY18" s="84">
        <v>3.07</v>
      </c>
      <c r="AZ18" s="84">
        <v>5.91</v>
      </c>
      <c r="BA18" s="85"/>
      <c r="BB18" s="83" t="s">
        <v>21</v>
      </c>
      <c r="BC18" s="83">
        <v>97.6</v>
      </c>
    </row>
    <row r="19" spans="1:55">
      <c r="A19" s="83" t="s">
        <v>144</v>
      </c>
      <c r="B19" s="83"/>
      <c r="C19" s="83">
        <v>7</v>
      </c>
      <c r="D19" s="83" t="s">
        <v>184</v>
      </c>
      <c r="E19" s="83"/>
      <c r="F19" s="83" t="s">
        <v>185</v>
      </c>
      <c r="G19" s="83"/>
      <c r="H19" s="83" t="s">
        <v>186</v>
      </c>
      <c r="I19" s="83" t="s">
        <v>21</v>
      </c>
      <c r="J19" s="83">
        <v>73</v>
      </c>
      <c r="K19" s="83" t="s">
        <v>20</v>
      </c>
      <c r="L19" s="83"/>
      <c r="M19" s="83"/>
      <c r="N19" s="83"/>
      <c r="O19" s="99">
        <f t="shared" si="0"/>
        <v>99.5</v>
      </c>
      <c r="Q19" s="83">
        <v>18.399999999999999</v>
      </c>
      <c r="R19" s="83">
        <v>1.26</v>
      </c>
      <c r="S19" s="83">
        <v>0.37</v>
      </c>
      <c r="T19" s="83">
        <v>50</v>
      </c>
      <c r="U19" s="83" t="s">
        <v>187</v>
      </c>
      <c r="V19" s="83"/>
      <c r="W19" s="84">
        <v>27.5</v>
      </c>
      <c r="X19" s="84">
        <v>27.64</v>
      </c>
      <c r="Y19" s="84" t="s">
        <v>131</v>
      </c>
      <c r="Z19" s="84">
        <v>27.62</v>
      </c>
      <c r="AA19" s="84">
        <v>26.96</v>
      </c>
      <c r="AB19" s="84">
        <v>27.66</v>
      </c>
      <c r="AC19" s="84">
        <v>25.99</v>
      </c>
      <c r="AD19" s="84">
        <v>26.98</v>
      </c>
      <c r="AE19" s="84">
        <v>24.7</v>
      </c>
      <c r="AF19" s="84">
        <v>27.14</v>
      </c>
      <c r="AG19" s="84">
        <v>33.049999999999997</v>
      </c>
      <c r="AH19" s="84">
        <v>29.54</v>
      </c>
      <c r="AI19" s="84">
        <v>31.69</v>
      </c>
      <c r="AJ19" s="84">
        <v>26.85</v>
      </c>
      <c r="AK19" s="84">
        <v>30.7</v>
      </c>
      <c r="AL19" s="84">
        <v>26.65</v>
      </c>
      <c r="AM19" s="84">
        <v>31.78</v>
      </c>
      <c r="AN19" s="84">
        <v>26.78</v>
      </c>
      <c r="AO19" s="84">
        <v>34.28</v>
      </c>
      <c r="AP19" s="84">
        <v>26.79</v>
      </c>
      <c r="AQ19" s="85"/>
      <c r="AR19" s="84">
        <v>-0.1400000000000006</v>
      </c>
      <c r="AS19" s="84">
        <v>-0.69999999999999929</v>
      </c>
      <c r="AT19" s="84">
        <v>-0.99000000000000199</v>
      </c>
      <c r="AU19" s="84">
        <v>-2.4400000000000008</v>
      </c>
      <c r="AV19" s="84">
        <v>3.509999999999998</v>
      </c>
      <c r="AW19" s="84">
        <v>4.84</v>
      </c>
      <c r="AX19" s="84">
        <v>4.0500000000000007</v>
      </c>
      <c r="AY19" s="84">
        <v>5</v>
      </c>
      <c r="AZ19" s="84">
        <v>7.490000000000002</v>
      </c>
      <c r="BA19" s="85"/>
      <c r="BB19" s="83" t="s">
        <v>21</v>
      </c>
      <c r="BC19" s="83">
        <v>99.5</v>
      </c>
    </row>
    <row r="20" spans="1:55">
      <c r="A20" s="83" t="s">
        <v>144</v>
      </c>
      <c r="B20" s="83"/>
      <c r="C20" s="83">
        <v>8</v>
      </c>
      <c r="D20" s="83" t="s">
        <v>188</v>
      </c>
      <c r="E20" s="83"/>
      <c r="F20" s="83" t="s">
        <v>189</v>
      </c>
      <c r="G20" s="83"/>
      <c r="H20" s="83" t="s">
        <v>190</v>
      </c>
      <c r="I20" s="83" t="s">
        <v>21</v>
      </c>
      <c r="J20" s="83">
        <v>76</v>
      </c>
      <c r="K20" s="83" t="s">
        <v>20</v>
      </c>
      <c r="L20" s="83"/>
      <c r="M20" s="83"/>
      <c r="N20" s="83"/>
      <c r="O20" s="99">
        <f t="shared" si="0"/>
        <v>99.8</v>
      </c>
      <c r="Q20" s="83">
        <v>16.600000000000001</v>
      </c>
      <c r="R20" s="83">
        <v>1.3</v>
      </c>
      <c r="S20" s="83">
        <v>0.39</v>
      </c>
      <c r="T20" s="83">
        <v>50</v>
      </c>
      <c r="U20" s="83" t="s">
        <v>191</v>
      </c>
      <c r="V20" s="83"/>
      <c r="W20" s="84">
        <v>25.65</v>
      </c>
      <c r="X20" s="84">
        <v>28.16</v>
      </c>
      <c r="Y20" s="84" t="s">
        <v>131</v>
      </c>
      <c r="Z20" s="84">
        <v>28.04</v>
      </c>
      <c r="AA20" s="84">
        <v>24.86</v>
      </c>
      <c r="AB20" s="84">
        <v>28</v>
      </c>
      <c r="AC20" s="84">
        <v>26.75</v>
      </c>
      <c r="AD20" s="84">
        <v>27.66</v>
      </c>
      <c r="AE20" s="84">
        <v>23.83</v>
      </c>
      <c r="AF20" s="84">
        <v>27.67</v>
      </c>
      <c r="AG20" s="84">
        <v>35.35</v>
      </c>
      <c r="AH20" s="84">
        <v>29.82</v>
      </c>
      <c r="AI20" s="84">
        <v>28.99</v>
      </c>
      <c r="AJ20" s="84">
        <v>27.17</v>
      </c>
      <c r="AK20" s="84">
        <v>29.15</v>
      </c>
      <c r="AL20" s="84">
        <v>27.01</v>
      </c>
      <c r="AM20" s="84">
        <v>29.03</v>
      </c>
      <c r="AN20" s="84">
        <v>26.77</v>
      </c>
      <c r="AO20" s="84">
        <v>31.87</v>
      </c>
      <c r="AP20" s="84">
        <v>26.95</v>
      </c>
      <c r="AQ20" s="85"/>
      <c r="AR20" s="84">
        <v>-2.510000000000002</v>
      </c>
      <c r="AS20" s="84">
        <v>-3.140000000000001</v>
      </c>
      <c r="AT20" s="84">
        <v>-0.91000000000000014</v>
      </c>
      <c r="AU20" s="84">
        <v>-3.840000000000003</v>
      </c>
      <c r="AV20" s="84">
        <v>5.5300000000000011</v>
      </c>
      <c r="AW20" s="84">
        <v>1.819999999999997</v>
      </c>
      <c r="AX20" s="84">
        <v>2.139999999999997</v>
      </c>
      <c r="AY20" s="84">
        <v>2.260000000000002</v>
      </c>
      <c r="AZ20" s="84">
        <v>4.9200000000000017</v>
      </c>
      <c r="BA20" s="85"/>
      <c r="BB20" s="83" t="s">
        <v>21</v>
      </c>
      <c r="BC20" s="83">
        <v>99.8</v>
      </c>
    </row>
    <row r="21" spans="1:55" s="88" customFormat="1" ht="17">
      <c r="A21" s="86" t="s">
        <v>144</v>
      </c>
      <c r="B21" s="86"/>
      <c r="C21" s="86">
        <v>9</v>
      </c>
      <c r="D21" s="86" t="s">
        <v>192</v>
      </c>
      <c r="E21" s="86"/>
      <c r="F21" s="86" t="s">
        <v>193</v>
      </c>
      <c r="G21" s="86"/>
      <c r="H21" s="86" t="s">
        <v>194</v>
      </c>
      <c r="I21" s="86" t="s">
        <v>21</v>
      </c>
      <c r="J21" s="86">
        <v>78</v>
      </c>
      <c r="K21" s="86" t="s">
        <v>20</v>
      </c>
      <c r="L21" s="86"/>
      <c r="M21" s="86"/>
      <c r="N21" s="86"/>
      <c r="O21" s="87">
        <f t="shared" si="0"/>
        <v>49</v>
      </c>
      <c r="Q21" s="86">
        <v>24</v>
      </c>
      <c r="R21" s="86">
        <v>1.33</v>
      </c>
      <c r="S21" s="86">
        <v>0.42</v>
      </c>
      <c r="T21" s="86">
        <v>50</v>
      </c>
      <c r="U21" s="86" t="s">
        <v>195</v>
      </c>
      <c r="V21" s="86"/>
      <c r="W21" s="89">
        <v>26.83</v>
      </c>
      <c r="X21" s="89">
        <v>26.48</v>
      </c>
      <c r="Y21" s="89" t="s">
        <v>131</v>
      </c>
      <c r="Z21" s="89">
        <v>26.54</v>
      </c>
      <c r="AA21" s="89">
        <v>26.13</v>
      </c>
      <c r="AB21" s="89">
        <v>26.44</v>
      </c>
      <c r="AC21" s="89">
        <v>26.89</v>
      </c>
      <c r="AD21" s="89">
        <v>26</v>
      </c>
      <c r="AE21" s="89">
        <v>25.25</v>
      </c>
      <c r="AF21" s="89">
        <v>26.27</v>
      </c>
      <c r="AG21" s="89">
        <v>39.75</v>
      </c>
      <c r="AH21" s="89">
        <v>28.26</v>
      </c>
      <c r="AI21" s="89">
        <v>32.61</v>
      </c>
      <c r="AJ21" s="89">
        <v>25.96</v>
      </c>
      <c r="AK21" s="89">
        <v>34.14</v>
      </c>
      <c r="AL21" s="89">
        <v>25.88</v>
      </c>
      <c r="AM21" s="89">
        <v>32.35</v>
      </c>
      <c r="AN21" s="89">
        <v>26.01</v>
      </c>
      <c r="AO21" s="89">
        <v>36.18</v>
      </c>
      <c r="AP21" s="89">
        <v>25.94</v>
      </c>
      <c r="AQ21" s="90"/>
      <c r="AR21" s="89">
        <v>0.34999999999999792</v>
      </c>
      <c r="AS21" s="89">
        <v>-0.31000000000000227</v>
      </c>
      <c r="AT21" s="89">
        <v>0.89000000000000057</v>
      </c>
      <c r="AU21" s="89">
        <v>-1.02</v>
      </c>
      <c r="AV21" s="89">
        <v>11.49</v>
      </c>
      <c r="AW21" s="89">
        <v>6.6499999999999986</v>
      </c>
      <c r="AX21" s="89">
        <v>8.2600000000000016</v>
      </c>
      <c r="AY21" s="89">
        <v>6.34</v>
      </c>
      <c r="AZ21" s="89">
        <v>10.24</v>
      </c>
      <c r="BA21" s="90"/>
      <c r="BB21" s="86" t="s">
        <v>21</v>
      </c>
      <c r="BC21" s="86">
        <v>49</v>
      </c>
    </row>
    <row r="22" spans="1:55">
      <c r="A22" s="83" t="s">
        <v>144</v>
      </c>
      <c r="B22" s="83"/>
      <c r="C22" s="83">
        <v>10</v>
      </c>
      <c r="D22" s="83" t="s">
        <v>196</v>
      </c>
      <c r="E22" s="83"/>
      <c r="F22" s="83" t="s">
        <v>197</v>
      </c>
      <c r="G22" s="83"/>
      <c r="H22" s="83" t="s">
        <v>198</v>
      </c>
      <c r="I22" s="83" t="s">
        <v>21</v>
      </c>
      <c r="J22" s="83">
        <v>78</v>
      </c>
      <c r="K22" s="83" t="s">
        <v>20</v>
      </c>
      <c r="L22" s="83"/>
      <c r="M22" s="83"/>
      <c r="N22" s="83"/>
      <c r="O22" s="99">
        <f t="shared" si="0"/>
        <v>97.4</v>
      </c>
      <c r="Q22" s="83">
        <v>18.399999999999999</v>
      </c>
      <c r="R22" s="83">
        <v>1.31</v>
      </c>
      <c r="S22" s="83">
        <v>0.4</v>
      </c>
      <c r="T22" s="83">
        <v>50</v>
      </c>
      <c r="U22" s="83" t="s">
        <v>199</v>
      </c>
      <c r="V22" s="83"/>
      <c r="W22" s="84">
        <v>24.33</v>
      </c>
      <c r="X22" s="84">
        <v>27.25</v>
      </c>
      <c r="Y22" s="84" t="s">
        <v>131</v>
      </c>
      <c r="Z22" s="84">
        <v>27.11</v>
      </c>
      <c r="AA22" s="84">
        <v>23.9</v>
      </c>
      <c r="AB22" s="84">
        <v>27.07</v>
      </c>
      <c r="AC22" s="84">
        <v>26.38</v>
      </c>
      <c r="AD22" s="84">
        <v>26.7</v>
      </c>
      <c r="AE22" s="84">
        <v>24.46</v>
      </c>
      <c r="AF22" s="84">
        <v>27.03</v>
      </c>
      <c r="AG22" s="84">
        <v>36.08</v>
      </c>
      <c r="AH22" s="84">
        <v>28.85</v>
      </c>
      <c r="AI22" s="84">
        <v>28.86</v>
      </c>
      <c r="AJ22" s="84">
        <v>26.31</v>
      </c>
      <c r="AK22" s="84">
        <v>31.78</v>
      </c>
      <c r="AL22" s="84">
        <v>26.37</v>
      </c>
      <c r="AM22" s="84">
        <v>28.87</v>
      </c>
      <c r="AN22" s="84">
        <v>26.06</v>
      </c>
      <c r="AO22" s="84">
        <v>32.119999999999997</v>
      </c>
      <c r="AP22" s="84">
        <v>26.26</v>
      </c>
      <c r="AQ22" s="85"/>
      <c r="AR22" s="84">
        <v>-2.9200000000000021</v>
      </c>
      <c r="AS22" s="84">
        <v>-3.1700000000000021</v>
      </c>
      <c r="AT22" s="84">
        <v>-0.32000000000000028</v>
      </c>
      <c r="AU22" s="84">
        <v>-2.57</v>
      </c>
      <c r="AV22" s="84">
        <v>7.2299999999999969</v>
      </c>
      <c r="AW22" s="84">
        <v>2.5500000000000012</v>
      </c>
      <c r="AX22" s="84">
        <v>5.41</v>
      </c>
      <c r="AY22" s="84">
        <v>2.8100000000000018</v>
      </c>
      <c r="AZ22" s="84">
        <v>5.8599999999999959</v>
      </c>
      <c r="BA22" s="85"/>
      <c r="BB22" s="83" t="s">
        <v>21</v>
      </c>
      <c r="BC22" s="83">
        <v>97.4</v>
      </c>
    </row>
    <row r="23" spans="1:55" s="88" customFormat="1" ht="17">
      <c r="A23" s="86" t="s">
        <v>144</v>
      </c>
      <c r="B23" s="86"/>
      <c r="C23" s="86">
        <v>21</v>
      </c>
      <c r="D23" s="86" t="s">
        <v>200</v>
      </c>
      <c r="E23" s="86"/>
      <c r="F23" s="86"/>
      <c r="G23" s="86"/>
      <c r="H23" s="86" t="s">
        <v>201</v>
      </c>
      <c r="I23" s="86" t="s">
        <v>17</v>
      </c>
      <c r="J23" s="86">
        <v>82</v>
      </c>
      <c r="K23" s="86" t="s">
        <v>18</v>
      </c>
      <c r="L23" s="86"/>
      <c r="M23" s="86"/>
      <c r="N23" s="86"/>
      <c r="O23" s="87">
        <f t="shared" si="0"/>
        <v>79.099999999999994</v>
      </c>
      <c r="Q23" s="86">
        <v>13.7</v>
      </c>
      <c r="R23" s="86">
        <v>1.23</v>
      </c>
      <c r="S23" s="86">
        <v>0.36</v>
      </c>
      <c r="T23" s="86">
        <v>50</v>
      </c>
      <c r="U23" s="86" t="s">
        <v>202</v>
      </c>
      <c r="V23" s="86"/>
      <c r="W23" s="89">
        <v>25.55</v>
      </c>
      <c r="X23" s="89">
        <v>25.68</v>
      </c>
      <c r="Y23" s="89" t="s">
        <v>131</v>
      </c>
      <c r="Z23" s="89">
        <v>25.64</v>
      </c>
      <c r="AA23" s="89">
        <v>24.76</v>
      </c>
      <c r="AB23" s="89">
        <v>25.6</v>
      </c>
      <c r="AC23" s="89">
        <v>27.2</v>
      </c>
      <c r="AD23" s="89">
        <v>25.35</v>
      </c>
      <c r="AE23" s="89">
        <v>23.51</v>
      </c>
      <c r="AF23" s="89">
        <v>25.18</v>
      </c>
      <c r="AG23" s="89">
        <v>34.1</v>
      </c>
      <c r="AH23" s="89">
        <v>27.24</v>
      </c>
      <c r="AI23" s="89">
        <v>31.18</v>
      </c>
      <c r="AJ23" s="89">
        <v>25.05</v>
      </c>
      <c r="AK23" s="89">
        <v>33.6</v>
      </c>
      <c r="AL23" s="89">
        <v>25.05</v>
      </c>
      <c r="AM23" s="89">
        <v>31.28</v>
      </c>
      <c r="AN23" s="89">
        <v>25.17</v>
      </c>
      <c r="AO23" s="89">
        <v>34.35</v>
      </c>
      <c r="AP23" s="89">
        <v>25.06</v>
      </c>
      <c r="AQ23" s="90"/>
      <c r="AR23" s="89">
        <v>-0.12999999999999901</v>
      </c>
      <c r="AS23" s="89">
        <v>-0.83999999999999986</v>
      </c>
      <c r="AT23" s="89">
        <v>1.8499999999999981</v>
      </c>
      <c r="AU23" s="89">
        <v>-1.6699999999999979</v>
      </c>
      <c r="AV23" s="89">
        <v>6.860000000000003</v>
      </c>
      <c r="AW23" s="89">
        <v>6.129999999999999</v>
      </c>
      <c r="AX23" s="89">
        <v>8.5500000000000007</v>
      </c>
      <c r="AY23" s="89">
        <v>6.1099999999999994</v>
      </c>
      <c r="AZ23" s="89">
        <v>9.2900000000000027</v>
      </c>
      <c r="BA23" s="90"/>
      <c r="BB23" s="86" t="s">
        <v>27</v>
      </c>
      <c r="BC23" s="86">
        <v>79.099999999999994</v>
      </c>
    </row>
    <row r="24" spans="1:55">
      <c r="A24" s="83" t="s">
        <v>144</v>
      </c>
      <c r="B24" s="83"/>
      <c r="C24" s="83">
        <v>22</v>
      </c>
      <c r="D24" s="83" t="s">
        <v>203</v>
      </c>
      <c r="E24" s="83"/>
      <c r="F24" s="83"/>
      <c r="G24" s="83"/>
      <c r="H24" s="83" t="s">
        <v>204</v>
      </c>
      <c r="I24" s="83" t="s">
        <v>19</v>
      </c>
      <c r="J24" s="83">
        <v>62</v>
      </c>
      <c r="K24" s="83" t="s">
        <v>20</v>
      </c>
      <c r="L24" s="83"/>
      <c r="M24" s="83"/>
      <c r="N24" s="83"/>
      <c r="O24" s="99">
        <f t="shared" si="0"/>
        <v>26.9</v>
      </c>
      <c r="Q24" s="83">
        <v>17.899999999999999</v>
      </c>
      <c r="R24" s="83">
        <v>1.25</v>
      </c>
      <c r="S24" s="83">
        <v>0.38</v>
      </c>
      <c r="T24" s="83">
        <v>50</v>
      </c>
      <c r="U24" s="83" t="s">
        <v>205</v>
      </c>
      <c r="V24" s="83"/>
      <c r="W24" s="84">
        <v>29.37</v>
      </c>
      <c r="X24" s="84">
        <v>27.21</v>
      </c>
      <c r="Y24" s="84" t="s">
        <v>131</v>
      </c>
      <c r="Z24" s="84">
        <v>27.19</v>
      </c>
      <c r="AA24" s="84">
        <v>27.58</v>
      </c>
      <c r="AB24" s="84">
        <v>27.24</v>
      </c>
      <c r="AC24" s="84">
        <v>30.51</v>
      </c>
      <c r="AD24" s="84">
        <v>26.97</v>
      </c>
      <c r="AE24" s="84">
        <v>25.25</v>
      </c>
      <c r="AF24" s="84">
        <v>26.78</v>
      </c>
      <c r="AG24" s="84">
        <v>40</v>
      </c>
      <c r="AH24" s="84">
        <v>28.91</v>
      </c>
      <c r="AI24" s="84">
        <v>36.26</v>
      </c>
      <c r="AJ24" s="84">
        <v>26.71</v>
      </c>
      <c r="AK24" s="84">
        <v>36.369999999999997</v>
      </c>
      <c r="AL24" s="84">
        <v>26.49</v>
      </c>
      <c r="AM24" s="84">
        <v>34.47</v>
      </c>
      <c r="AN24" s="84">
        <v>26.69</v>
      </c>
      <c r="AO24" s="84">
        <v>39.26</v>
      </c>
      <c r="AP24" s="84">
        <v>26.62</v>
      </c>
      <c r="AQ24" s="85"/>
      <c r="AR24" s="84">
        <v>2.16</v>
      </c>
      <c r="AS24" s="84">
        <v>0.33999999999999991</v>
      </c>
      <c r="AT24" s="84">
        <v>3.5400000000000031</v>
      </c>
      <c r="AU24" s="84">
        <v>-1.5300000000000009</v>
      </c>
      <c r="AV24" s="84">
        <v>11.09</v>
      </c>
      <c r="AW24" s="84">
        <v>9.5499999999999972</v>
      </c>
      <c r="AX24" s="84">
        <v>9.879999999999999</v>
      </c>
      <c r="AY24" s="84">
        <v>7.7799999999999976</v>
      </c>
      <c r="AZ24" s="84">
        <v>12.64</v>
      </c>
      <c r="BA24" s="85"/>
      <c r="BB24" s="83" t="s">
        <v>27</v>
      </c>
      <c r="BC24" s="83">
        <v>26.9</v>
      </c>
    </row>
    <row r="25" spans="1:55" s="92" customFormat="1" ht="17">
      <c r="A25" s="91" t="s">
        <v>144</v>
      </c>
      <c r="B25" s="91"/>
      <c r="C25" s="91">
        <v>23</v>
      </c>
      <c r="D25" s="91" t="s">
        <v>206</v>
      </c>
      <c r="E25" s="91"/>
      <c r="F25" s="91"/>
      <c r="G25" s="91"/>
      <c r="H25" s="91" t="s">
        <v>207</v>
      </c>
      <c r="I25" s="91" t="s">
        <v>17</v>
      </c>
      <c r="J25" s="91">
        <v>68</v>
      </c>
      <c r="K25" s="91" t="s">
        <v>20</v>
      </c>
      <c r="L25" s="91"/>
      <c r="M25" s="91"/>
      <c r="N25" s="91"/>
      <c r="O25" s="100">
        <f t="shared" si="0"/>
        <v>63.5</v>
      </c>
      <c r="Q25" s="91">
        <v>17.600000000000001</v>
      </c>
      <c r="R25" s="91">
        <v>1.25</v>
      </c>
      <c r="S25" s="91">
        <v>0.38</v>
      </c>
      <c r="T25" s="91">
        <v>50</v>
      </c>
      <c r="U25" s="91" t="s">
        <v>208</v>
      </c>
      <c r="V25" s="91"/>
      <c r="W25" s="93">
        <v>27.1</v>
      </c>
      <c r="X25" s="93">
        <v>27.07</v>
      </c>
      <c r="Y25" s="93" t="s">
        <v>131</v>
      </c>
      <c r="Z25" s="93">
        <v>26.96</v>
      </c>
      <c r="AA25" s="93">
        <v>25.91</v>
      </c>
      <c r="AB25" s="93">
        <v>26.92</v>
      </c>
      <c r="AC25" s="93">
        <v>27.78</v>
      </c>
      <c r="AD25" s="93">
        <v>26.57</v>
      </c>
      <c r="AE25" s="93">
        <v>24.36</v>
      </c>
      <c r="AF25" s="93">
        <v>26.42</v>
      </c>
      <c r="AG25" s="93">
        <v>40</v>
      </c>
      <c r="AH25" s="93">
        <v>28.86</v>
      </c>
      <c r="AI25" s="93">
        <v>34.08</v>
      </c>
      <c r="AJ25" s="93">
        <v>26.64</v>
      </c>
      <c r="AK25" s="93">
        <v>34.53</v>
      </c>
      <c r="AL25" s="93">
        <v>26.52</v>
      </c>
      <c r="AM25" s="93">
        <v>33.17</v>
      </c>
      <c r="AN25" s="93">
        <v>26.62</v>
      </c>
      <c r="AO25" s="93">
        <v>37.82</v>
      </c>
      <c r="AP25" s="93">
        <v>26.64</v>
      </c>
      <c r="AQ25" s="94"/>
      <c r="AR25" s="93">
        <v>3.000000000000114E-2</v>
      </c>
      <c r="AS25" s="93">
        <v>-1.010000000000002</v>
      </c>
      <c r="AT25" s="93">
        <v>1.2100000000000011</v>
      </c>
      <c r="AU25" s="93">
        <v>-2.0600000000000018</v>
      </c>
      <c r="AV25" s="93">
        <v>11.14</v>
      </c>
      <c r="AW25" s="93">
        <v>7.4399999999999977</v>
      </c>
      <c r="AX25" s="93">
        <v>8.0100000000000016</v>
      </c>
      <c r="AY25" s="93">
        <v>6.5500000000000007</v>
      </c>
      <c r="AZ25" s="93">
        <v>11.18</v>
      </c>
      <c r="BA25" s="94"/>
      <c r="BB25" s="91" t="s">
        <v>27</v>
      </c>
      <c r="BC25" s="91">
        <v>63.5</v>
      </c>
    </row>
    <row r="26" spans="1:55">
      <c r="A26" s="83" t="s">
        <v>144</v>
      </c>
      <c r="B26" s="83"/>
      <c r="C26" s="83">
        <v>24</v>
      </c>
      <c r="D26" s="83" t="s">
        <v>209</v>
      </c>
      <c r="E26" s="83"/>
      <c r="F26" s="83"/>
      <c r="G26" s="83"/>
      <c r="H26" s="83" t="s">
        <v>210</v>
      </c>
      <c r="I26" s="83" t="s">
        <v>19</v>
      </c>
      <c r="J26" s="83">
        <v>74</v>
      </c>
      <c r="K26" s="83" t="s">
        <v>20</v>
      </c>
      <c r="L26" s="83"/>
      <c r="M26" s="83"/>
      <c r="N26" s="83"/>
      <c r="O26" s="99">
        <f t="shared" si="0"/>
        <v>51.8</v>
      </c>
      <c r="Q26" s="83">
        <v>16.399999999999999</v>
      </c>
      <c r="R26" s="83">
        <v>1.22</v>
      </c>
      <c r="S26" s="83">
        <v>0.36</v>
      </c>
      <c r="T26" s="83">
        <v>50</v>
      </c>
      <c r="U26" s="83" t="s">
        <v>211</v>
      </c>
      <c r="V26" s="83"/>
      <c r="W26" s="84">
        <v>28.04</v>
      </c>
      <c r="X26" s="84">
        <v>26.92</v>
      </c>
      <c r="Y26" s="84" t="s">
        <v>131</v>
      </c>
      <c r="Z26" s="84">
        <v>27</v>
      </c>
      <c r="AA26" s="84">
        <v>26.75</v>
      </c>
      <c r="AB26" s="84">
        <v>26.92</v>
      </c>
      <c r="AC26" s="84">
        <v>28.14</v>
      </c>
      <c r="AD26" s="84">
        <v>26.52</v>
      </c>
      <c r="AE26" s="84">
        <v>23.82</v>
      </c>
      <c r="AF26" s="84">
        <v>26.36</v>
      </c>
      <c r="AG26" s="84">
        <v>40</v>
      </c>
      <c r="AH26" s="84">
        <v>29.51</v>
      </c>
      <c r="AI26" s="84">
        <v>36.26</v>
      </c>
      <c r="AJ26" s="84">
        <v>27.02</v>
      </c>
      <c r="AK26" s="84">
        <v>35.31</v>
      </c>
      <c r="AL26" s="84">
        <v>26.83</v>
      </c>
      <c r="AM26" s="84">
        <v>35.03</v>
      </c>
      <c r="AN26" s="84">
        <v>26.84</v>
      </c>
      <c r="AO26" s="84">
        <v>38.11</v>
      </c>
      <c r="AP26" s="84">
        <v>26.86</v>
      </c>
      <c r="AQ26" s="85"/>
      <c r="AR26" s="84">
        <v>1.119999999999997</v>
      </c>
      <c r="AS26" s="84">
        <v>-0.17000000000000171</v>
      </c>
      <c r="AT26" s="84">
        <v>1.620000000000001</v>
      </c>
      <c r="AU26" s="84">
        <v>-2.5399999999999991</v>
      </c>
      <c r="AV26" s="84">
        <v>10.49</v>
      </c>
      <c r="AW26" s="84">
        <v>9.2399999999999984</v>
      </c>
      <c r="AX26" s="84">
        <v>8.480000000000004</v>
      </c>
      <c r="AY26" s="84">
        <v>8.1900000000000013</v>
      </c>
      <c r="AZ26" s="84">
        <v>11.25</v>
      </c>
      <c r="BA26" s="85"/>
      <c r="BB26" s="83" t="s">
        <v>27</v>
      </c>
      <c r="BC26" s="83">
        <v>51.8</v>
      </c>
    </row>
    <row r="27" spans="1:55">
      <c r="A27" s="83" t="s">
        <v>144</v>
      </c>
      <c r="B27" s="83"/>
      <c r="C27" s="83">
        <v>25</v>
      </c>
      <c r="D27" s="83" t="s">
        <v>212</v>
      </c>
      <c r="E27" s="83"/>
      <c r="F27" s="83"/>
      <c r="G27" s="83"/>
      <c r="H27" s="83" t="s">
        <v>213</v>
      </c>
      <c r="I27" s="83" t="s">
        <v>17</v>
      </c>
      <c r="J27" s="83">
        <v>75</v>
      </c>
      <c r="K27" s="83" t="s">
        <v>18</v>
      </c>
      <c r="L27" s="83"/>
      <c r="M27" s="83"/>
      <c r="N27" s="83"/>
      <c r="O27" s="99">
        <f t="shared" si="0"/>
        <v>17</v>
      </c>
      <c r="Q27" s="83">
        <v>16.7</v>
      </c>
      <c r="R27" s="83">
        <v>1.24</v>
      </c>
      <c r="S27" s="83">
        <v>0.37</v>
      </c>
      <c r="T27" s="83">
        <v>50</v>
      </c>
      <c r="U27" s="83">
        <v>832.5</v>
      </c>
      <c r="V27" s="83"/>
      <c r="W27" s="84">
        <v>26.19</v>
      </c>
      <c r="X27" s="84">
        <v>25.99</v>
      </c>
      <c r="Y27" s="84" t="s">
        <v>131</v>
      </c>
      <c r="Z27" s="84">
        <v>25.8</v>
      </c>
      <c r="AA27" s="84">
        <v>24.41</v>
      </c>
      <c r="AB27" s="84">
        <v>25.76</v>
      </c>
      <c r="AC27" s="84">
        <v>27.11</v>
      </c>
      <c r="AD27" s="84">
        <v>25.45</v>
      </c>
      <c r="AE27" s="84">
        <v>23.47</v>
      </c>
      <c r="AF27" s="84">
        <v>25.27</v>
      </c>
      <c r="AG27" s="84">
        <v>39.22</v>
      </c>
      <c r="AH27" s="84">
        <v>27.71</v>
      </c>
      <c r="AI27" s="84">
        <v>34.58</v>
      </c>
      <c r="AJ27" s="84">
        <v>25.77</v>
      </c>
      <c r="AK27" s="84">
        <v>37.090000000000003</v>
      </c>
      <c r="AL27" s="84">
        <v>25.81</v>
      </c>
      <c r="AM27" s="84">
        <v>32.32</v>
      </c>
      <c r="AN27" s="84">
        <v>25.69</v>
      </c>
      <c r="AO27" s="84">
        <v>36.79</v>
      </c>
      <c r="AP27" s="84">
        <v>25.73</v>
      </c>
      <c r="AQ27" s="85"/>
      <c r="AR27" s="84">
        <v>0.20000000000000279</v>
      </c>
      <c r="AS27" s="84">
        <v>-1.350000000000001</v>
      </c>
      <c r="AT27" s="84">
        <v>1.66</v>
      </c>
      <c r="AU27" s="84">
        <v>-1.8000000000000009</v>
      </c>
      <c r="AV27" s="84">
        <v>11.51</v>
      </c>
      <c r="AW27" s="84">
        <v>8.8099999999999987</v>
      </c>
      <c r="AX27" s="84">
        <v>11.28</v>
      </c>
      <c r="AY27" s="84">
        <v>6.629999999999999</v>
      </c>
      <c r="AZ27" s="84">
        <v>11.06</v>
      </c>
      <c r="BA27" s="85"/>
      <c r="BB27" s="83" t="s">
        <v>27</v>
      </c>
      <c r="BC27" s="83">
        <v>17</v>
      </c>
    </row>
    <row r="28" spans="1:55">
      <c r="A28" s="83" t="s">
        <v>214</v>
      </c>
      <c r="B28" s="83">
        <v>1</v>
      </c>
      <c r="C28" s="83">
        <v>1</v>
      </c>
      <c r="D28" s="83" t="s">
        <v>215</v>
      </c>
      <c r="E28" s="83" t="s">
        <v>216</v>
      </c>
      <c r="F28" s="83"/>
      <c r="G28" s="83"/>
      <c r="H28" s="83" t="s">
        <v>217</v>
      </c>
      <c r="I28" s="83" t="s">
        <v>21</v>
      </c>
      <c r="J28" s="83">
        <v>72</v>
      </c>
      <c r="K28" s="83" t="s">
        <v>22</v>
      </c>
      <c r="L28" s="83">
        <v>20200227</v>
      </c>
      <c r="M28" s="83"/>
      <c r="N28" s="83"/>
      <c r="O28" s="99">
        <f t="shared" si="0"/>
        <v>79</v>
      </c>
      <c r="Q28" s="83">
        <v>49.78</v>
      </c>
      <c r="R28" s="83">
        <v>1.34</v>
      </c>
      <c r="S28" s="83">
        <v>0.46</v>
      </c>
      <c r="T28" s="83">
        <v>30</v>
      </c>
      <c r="U28" s="83">
        <v>1493.4</v>
      </c>
      <c r="V28" s="83"/>
      <c r="W28" s="84">
        <v>25.870065689086911</v>
      </c>
      <c r="X28" s="84">
        <v>26.011811256408691</v>
      </c>
      <c r="Y28" s="84"/>
      <c r="Z28" s="84"/>
      <c r="AA28" s="84">
        <v>26.241756439208981</v>
      </c>
      <c r="AB28" s="84">
        <v>25.92091178894043</v>
      </c>
      <c r="AC28" s="84">
        <v>24.919331550598141</v>
      </c>
      <c r="AD28" s="84">
        <v>24.94659423828125</v>
      </c>
      <c r="AE28" s="84">
        <v>25.870065689086911</v>
      </c>
      <c r="AF28" s="84">
        <v>25.702566146850589</v>
      </c>
      <c r="AG28" s="84">
        <v>40</v>
      </c>
      <c r="AH28" s="84">
        <v>27.57651329040527</v>
      </c>
      <c r="AI28" s="84">
        <v>35.594573974609382</v>
      </c>
      <c r="AJ28" s="84">
        <v>25.988544464111332</v>
      </c>
      <c r="AK28" s="84">
        <v>31.781035423278809</v>
      </c>
      <c r="AL28" s="84">
        <v>25.95435619354248</v>
      </c>
      <c r="AM28" s="84">
        <v>32.520465850830078</v>
      </c>
      <c r="AN28" s="84">
        <v>26.061099052429199</v>
      </c>
      <c r="AO28" s="84">
        <v>35.079870223999023</v>
      </c>
      <c r="AP28" s="84">
        <v>25.939413070678711</v>
      </c>
      <c r="AQ28" s="85"/>
      <c r="AR28" s="84">
        <v>-0.14174556732177729</v>
      </c>
      <c r="AS28" s="84">
        <v>0.32084465026855469</v>
      </c>
      <c r="AT28" s="84">
        <v>-2.7262687683105469E-2</v>
      </c>
      <c r="AU28" s="84">
        <v>0.1674995422363281</v>
      </c>
      <c r="AV28" s="84">
        <v>12.42348670959473</v>
      </c>
      <c r="AW28" s="84">
        <v>9.6060295104980469</v>
      </c>
      <c r="AX28" s="84">
        <v>5.8266792297363281</v>
      </c>
      <c r="AY28" s="84">
        <v>6.4593667984008789</v>
      </c>
      <c r="AZ28" s="84">
        <v>9.1404571533203125</v>
      </c>
      <c r="BA28" s="85"/>
      <c r="BB28" s="83" t="s">
        <v>21</v>
      </c>
      <c r="BC28" s="83">
        <v>79</v>
      </c>
    </row>
    <row r="29" spans="1:55">
      <c r="A29" s="83" t="s">
        <v>214</v>
      </c>
      <c r="B29" s="83">
        <v>2</v>
      </c>
      <c r="C29" s="83">
        <v>2</v>
      </c>
      <c r="D29" s="83" t="s">
        <v>218</v>
      </c>
      <c r="E29" s="83" t="s">
        <v>219</v>
      </c>
      <c r="F29" s="83"/>
      <c r="G29" s="83"/>
      <c r="H29" s="83" t="s">
        <v>220</v>
      </c>
      <c r="I29" s="83" t="s">
        <v>21</v>
      </c>
      <c r="J29" s="83">
        <v>74</v>
      </c>
      <c r="K29" s="83" t="s">
        <v>22</v>
      </c>
      <c r="L29" s="83">
        <v>20200922</v>
      </c>
      <c r="M29" s="83"/>
      <c r="N29" s="83"/>
      <c r="O29" s="99">
        <f t="shared" si="0"/>
        <v>78.8</v>
      </c>
      <c r="Q29" s="83">
        <v>48.56</v>
      </c>
      <c r="R29" s="83">
        <v>1.35</v>
      </c>
      <c r="S29" s="83">
        <v>0.48</v>
      </c>
      <c r="T29" s="83">
        <v>30</v>
      </c>
      <c r="U29" s="83">
        <v>1456.9</v>
      </c>
      <c r="V29" s="83"/>
      <c r="W29" s="84">
        <v>26.604811668396</v>
      </c>
      <c r="X29" s="84">
        <v>26.947365760803219</v>
      </c>
      <c r="Y29" s="84"/>
      <c r="Z29" s="84"/>
      <c r="AA29" s="84">
        <v>27.397255897521969</v>
      </c>
      <c r="AB29" s="84">
        <v>27.06330394744873</v>
      </c>
      <c r="AC29" s="84">
        <v>26.294977188110352</v>
      </c>
      <c r="AD29" s="84">
        <v>26.04543304443359</v>
      </c>
      <c r="AE29" s="84">
        <v>26.604811668396</v>
      </c>
      <c r="AF29" s="84">
        <v>26.694962501525879</v>
      </c>
      <c r="AG29" s="84">
        <v>40</v>
      </c>
      <c r="AH29" s="84">
        <v>28.744147300720211</v>
      </c>
      <c r="AI29" s="84">
        <v>36.687490463256843</v>
      </c>
      <c r="AJ29" s="84">
        <v>27.133004188537601</v>
      </c>
      <c r="AK29" s="84">
        <v>33.330598831176758</v>
      </c>
      <c r="AL29" s="84">
        <v>27.012598991394039</v>
      </c>
      <c r="AM29" s="84">
        <v>33.604812622070312</v>
      </c>
      <c r="AN29" s="84">
        <v>27.108510971069339</v>
      </c>
      <c r="AO29" s="84">
        <v>35.912914276123047</v>
      </c>
      <c r="AP29" s="84">
        <v>26.987540245056149</v>
      </c>
      <c r="AQ29" s="85"/>
      <c r="AR29" s="84">
        <v>-0.34255409240722662</v>
      </c>
      <c r="AS29" s="84">
        <v>0.33395195007324219</v>
      </c>
      <c r="AT29" s="84">
        <v>0.24954414367675781</v>
      </c>
      <c r="AU29" s="84">
        <v>-9.0150833129882812E-2</v>
      </c>
      <c r="AV29" s="84">
        <v>11.25585269927979</v>
      </c>
      <c r="AW29" s="84">
        <v>9.5544862747192383</v>
      </c>
      <c r="AX29" s="84">
        <v>6.3179998397827148</v>
      </c>
      <c r="AY29" s="84">
        <v>6.4963016510009766</v>
      </c>
      <c r="AZ29" s="84">
        <v>8.9253740310668945</v>
      </c>
      <c r="BA29" s="85"/>
      <c r="BB29" s="83" t="s">
        <v>21</v>
      </c>
      <c r="BC29" s="83">
        <v>78.8</v>
      </c>
    </row>
    <row r="30" spans="1:55">
      <c r="A30" s="83" t="s">
        <v>214</v>
      </c>
      <c r="B30" s="83">
        <v>3</v>
      </c>
      <c r="C30" s="83">
        <v>3</v>
      </c>
      <c r="D30" s="83" t="s">
        <v>221</v>
      </c>
      <c r="E30" s="83" t="s">
        <v>222</v>
      </c>
      <c r="F30" s="83"/>
      <c r="G30" s="83"/>
      <c r="H30" s="83" t="s">
        <v>223</v>
      </c>
      <c r="I30" s="83" t="s">
        <v>21</v>
      </c>
      <c r="J30" s="83">
        <v>77</v>
      </c>
      <c r="K30" s="83" t="s">
        <v>22</v>
      </c>
      <c r="L30" s="83">
        <v>20190611</v>
      </c>
      <c r="M30" s="83"/>
      <c r="N30" s="83"/>
      <c r="O30" s="99">
        <f t="shared" si="0"/>
        <v>90</v>
      </c>
      <c r="Q30" s="83">
        <v>74.7</v>
      </c>
      <c r="R30" s="83">
        <v>1.38</v>
      </c>
      <c r="S30" s="83">
        <v>0.49</v>
      </c>
      <c r="T30" s="83">
        <v>30</v>
      </c>
      <c r="U30" s="83">
        <v>2241</v>
      </c>
      <c r="V30" s="83"/>
      <c r="W30" s="84">
        <v>25.229777336120609</v>
      </c>
      <c r="X30" s="84">
        <v>26.81120777130127</v>
      </c>
      <c r="Y30" s="84"/>
      <c r="Z30" s="84"/>
      <c r="AA30" s="84">
        <v>26.3884391784668</v>
      </c>
      <c r="AB30" s="84">
        <v>26.921492576599121</v>
      </c>
      <c r="AC30" s="84">
        <v>25.40141582489014</v>
      </c>
      <c r="AD30" s="84">
        <v>25.659854888916019</v>
      </c>
      <c r="AE30" s="84">
        <v>25.229777336120609</v>
      </c>
      <c r="AF30" s="84">
        <v>26.266777038574219</v>
      </c>
      <c r="AG30" s="84">
        <v>39.263565063476562</v>
      </c>
      <c r="AH30" s="84">
        <v>28.57346248626709</v>
      </c>
      <c r="AI30" s="84">
        <v>34.301013946533203</v>
      </c>
      <c r="AJ30" s="84">
        <v>26.916661262512211</v>
      </c>
      <c r="AK30" s="84">
        <v>32.005117416381843</v>
      </c>
      <c r="AL30" s="84">
        <v>26.918875694274899</v>
      </c>
      <c r="AM30" s="84">
        <v>32.178127288818359</v>
      </c>
      <c r="AN30" s="84">
        <v>26.959295272827148</v>
      </c>
      <c r="AO30" s="84">
        <v>34.025482177734382</v>
      </c>
      <c r="AP30" s="84">
        <v>26.85655403137207</v>
      </c>
      <c r="AQ30" s="85"/>
      <c r="AR30" s="84">
        <v>-1.5814304351806641</v>
      </c>
      <c r="AS30" s="84">
        <v>-0.53305339813232422</v>
      </c>
      <c r="AT30" s="84">
        <v>-0.25843906402587891</v>
      </c>
      <c r="AU30" s="84">
        <v>-1.0369997024536131</v>
      </c>
      <c r="AV30" s="84">
        <v>10.690102577209471</v>
      </c>
      <c r="AW30" s="84">
        <v>7.3843526840209961</v>
      </c>
      <c r="AX30" s="84">
        <v>5.0862417221069336</v>
      </c>
      <c r="AY30" s="84">
        <v>5.2188320159912109</v>
      </c>
      <c r="AZ30" s="84">
        <v>7.1689281463623047</v>
      </c>
      <c r="BA30" s="85"/>
      <c r="BB30" s="83" t="s">
        <v>21</v>
      </c>
      <c r="BC30" s="83">
        <v>90</v>
      </c>
    </row>
    <row r="31" spans="1:55" s="88" customFormat="1" ht="17">
      <c r="A31" s="86" t="s">
        <v>214</v>
      </c>
      <c r="B31" s="86">
        <v>4</v>
      </c>
      <c r="C31" s="86">
        <v>4</v>
      </c>
      <c r="D31" s="86" t="s">
        <v>224</v>
      </c>
      <c r="E31" s="86" t="s">
        <v>225</v>
      </c>
      <c r="F31" s="86"/>
      <c r="G31" s="86"/>
      <c r="H31" s="86" t="s">
        <v>226</v>
      </c>
      <c r="I31" s="86" t="s">
        <v>21</v>
      </c>
      <c r="J31" s="86">
        <v>77</v>
      </c>
      <c r="K31" s="86" t="s">
        <v>22</v>
      </c>
      <c r="L31" s="86">
        <v>20190807</v>
      </c>
      <c r="M31" s="86"/>
      <c r="N31" s="86"/>
      <c r="O31" s="87">
        <f t="shared" si="0"/>
        <v>35.9</v>
      </c>
      <c r="Q31" s="86">
        <v>41.42</v>
      </c>
      <c r="R31" s="86">
        <v>1.32</v>
      </c>
      <c r="S31" s="86">
        <v>0.45</v>
      </c>
      <c r="T31" s="86">
        <v>30</v>
      </c>
      <c r="U31" s="86">
        <v>1242.5999999999999</v>
      </c>
      <c r="V31" s="86"/>
      <c r="W31" s="89">
        <v>27.933792114257809</v>
      </c>
      <c r="X31" s="89">
        <v>26.93841552734375</v>
      </c>
      <c r="Y31" s="89"/>
      <c r="Z31" s="89"/>
      <c r="AA31" s="89">
        <v>25.753476142883301</v>
      </c>
      <c r="AB31" s="89">
        <v>27.035662651062012</v>
      </c>
      <c r="AC31" s="89">
        <v>31.827373504638668</v>
      </c>
      <c r="AD31" s="89">
        <v>27.033048629760739</v>
      </c>
      <c r="AE31" s="89">
        <v>27.933792114257809</v>
      </c>
      <c r="AF31" s="89">
        <v>26.932591438293461</v>
      </c>
      <c r="AG31" s="89">
        <v>40</v>
      </c>
      <c r="AH31" s="89">
        <v>28.761073112487789</v>
      </c>
      <c r="AI31" s="89">
        <v>33.484333038330078</v>
      </c>
      <c r="AJ31" s="89">
        <v>26.979401588439941</v>
      </c>
      <c r="AK31" s="89">
        <v>36.806303024291992</v>
      </c>
      <c r="AL31" s="89">
        <v>27.03752613067627</v>
      </c>
      <c r="AM31" s="89">
        <v>30.729473114013668</v>
      </c>
      <c r="AN31" s="89">
        <v>26.962040901184078</v>
      </c>
      <c r="AO31" s="89">
        <v>35.98175048828125</v>
      </c>
      <c r="AP31" s="89">
        <v>27.146992683410641</v>
      </c>
      <c r="AQ31" s="90"/>
      <c r="AR31" s="89">
        <v>0.9953765869140625</v>
      </c>
      <c r="AS31" s="89">
        <v>-1.2821865081787109</v>
      </c>
      <c r="AT31" s="89">
        <v>4.7943248748779297</v>
      </c>
      <c r="AU31" s="89">
        <v>1.001200675964355</v>
      </c>
      <c r="AV31" s="89">
        <v>11.238926887512211</v>
      </c>
      <c r="AW31" s="89">
        <v>6.5049314498901367</v>
      </c>
      <c r="AX31" s="89">
        <v>9.7687768936157227</v>
      </c>
      <c r="AY31" s="89">
        <v>3.7674322128295898</v>
      </c>
      <c r="AZ31" s="89">
        <v>8.8347578048706055</v>
      </c>
      <c r="BA31" s="90"/>
      <c r="BB31" s="86" t="s">
        <v>21</v>
      </c>
      <c r="BC31" s="86">
        <v>35.9</v>
      </c>
    </row>
    <row r="32" spans="1:55">
      <c r="A32" s="83" t="s">
        <v>214</v>
      </c>
      <c r="B32" s="83">
        <v>5</v>
      </c>
      <c r="C32" s="83">
        <v>5</v>
      </c>
      <c r="D32" s="83" t="s">
        <v>227</v>
      </c>
      <c r="E32" s="83" t="s">
        <v>228</v>
      </c>
      <c r="F32" s="83"/>
      <c r="G32" s="83"/>
      <c r="H32" s="83" t="s">
        <v>229</v>
      </c>
      <c r="I32" s="83" t="s">
        <v>21</v>
      </c>
      <c r="J32" s="83">
        <v>79</v>
      </c>
      <c r="K32" s="83" t="s">
        <v>22</v>
      </c>
      <c r="L32" s="83">
        <v>20201005</v>
      </c>
      <c r="M32" s="83"/>
      <c r="N32" s="83"/>
      <c r="O32" s="99">
        <f t="shared" si="0"/>
        <v>80.400000000000006</v>
      </c>
      <c r="Q32" s="83">
        <v>39.18</v>
      </c>
      <c r="R32" s="83">
        <v>1.32</v>
      </c>
      <c r="S32" s="83">
        <v>0.45</v>
      </c>
      <c r="T32" s="83">
        <v>30</v>
      </c>
      <c r="U32" s="83">
        <v>1175.5</v>
      </c>
      <c r="V32" s="83"/>
      <c r="W32" s="84">
        <v>27.078451156616211</v>
      </c>
      <c r="X32" s="84">
        <v>27.08153247833252</v>
      </c>
      <c r="Y32" s="84"/>
      <c r="Z32" s="84"/>
      <c r="AA32" s="84">
        <v>26.36106014251709</v>
      </c>
      <c r="AB32" s="84">
        <v>26.87716102600098</v>
      </c>
      <c r="AC32" s="84">
        <v>25.94789886474609</v>
      </c>
      <c r="AD32" s="84">
        <v>26.056036949157711</v>
      </c>
      <c r="AE32" s="84">
        <v>27.078451156616211</v>
      </c>
      <c r="AF32" s="84">
        <v>26.84845066070557</v>
      </c>
      <c r="AG32" s="84">
        <v>39.869161605834961</v>
      </c>
      <c r="AH32" s="84">
        <v>28.826680183410641</v>
      </c>
      <c r="AI32" s="84">
        <v>34.821403503417969</v>
      </c>
      <c r="AJ32" s="84">
        <v>27.085169792175289</v>
      </c>
      <c r="AK32" s="84">
        <v>33.916423797607422</v>
      </c>
      <c r="AL32" s="84">
        <v>27.06486988067627</v>
      </c>
      <c r="AM32" s="84">
        <v>31.92948055267334</v>
      </c>
      <c r="AN32" s="84">
        <v>27.098247528076168</v>
      </c>
      <c r="AO32" s="84">
        <v>36.26801872253418</v>
      </c>
      <c r="AP32" s="84">
        <v>27.202700614929199</v>
      </c>
      <c r="AQ32" s="85"/>
      <c r="AR32" s="84">
        <v>-3.0813217163085942E-3</v>
      </c>
      <c r="AS32" s="84">
        <v>-0.51610088348388672</v>
      </c>
      <c r="AT32" s="84">
        <v>-0.10813808441162109</v>
      </c>
      <c r="AU32" s="84">
        <v>0.2300004959106445</v>
      </c>
      <c r="AV32" s="84">
        <v>11.04248142242432</v>
      </c>
      <c r="AW32" s="84">
        <v>7.7362337112426758</v>
      </c>
      <c r="AX32" s="84">
        <v>6.8515539169311523</v>
      </c>
      <c r="AY32" s="84">
        <v>4.831233024597168</v>
      </c>
      <c r="AZ32" s="84">
        <v>9.0653181076049805</v>
      </c>
      <c r="BA32" s="85"/>
      <c r="BB32" s="83" t="s">
        <v>21</v>
      </c>
      <c r="BC32" s="83">
        <v>80.400000000000006</v>
      </c>
    </row>
    <row r="33" spans="1:55">
      <c r="A33" s="83" t="s">
        <v>214</v>
      </c>
      <c r="B33" s="83">
        <v>6</v>
      </c>
      <c r="C33" s="83">
        <v>6</v>
      </c>
      <c r="D33" s="83" t="s">
        <v>230</v>
      </c>
      <c r="E33" s="83" t="s">
        <v>231</v>
      </c>
      <c r="F33" s="83"/>
      <c r="G33" s="83"/>
      <c r="H33" s="83" t="s">
        <v>232</v>
      </c>
      <c r="I33" s="83" t="s">
        <v>21</v>
      </c>
      <c r="J33" s="83">
        <v>79</v>
      </c>
      <c r="K33" s="83" t="s">
        <v>22</v>
      </c>
      <c r="L33" s="83">
        <v>20191029</v>
      </c>
      <c r="M33" s="83"/>
      <c r="N33" s="83"/>
      <c r="O33" s="99">
        <f t="shared" si="0"/>
        <v>98.8</v>
      </c>
      <c r="Q33" s="83">
        <v>39.799999999999997</v>
      </c>
      <c r="R33" s="83">
        <v>1.34</v>
      </c>
      <c r="S33" s="83">
        <v>0.46</v>
      </c>
      <c r="T33" s="83">
        <v>30</v>
      </c>
      <c r="U33" s="83">
        <v>1194</v>
      </c>
      <c r="V33" s="83"/>
      <c r="W33" s="84">
        <v>27.409048080444339</v>
      </c>
      <c r="X33" s="84">
        <v>28.69474029541016</v>
      </c>
      <c r="Y33" s="84"/>
      <c r="Z33" s="84"/>
      <c r="AA33" s="84">
        <v>26.731234550476071</v>
      </c>
      <c r="AB33" s="84">
        <v>28.55236911773682</v>
      </c>
      <c r="AC33" s="84">
        <v>26.92625617980957</v>
      </c>
      <c r="AD33" s="84">
        <v>27.809292793273929</v>
      </c>
      <c r="AE33" s="84">
        <v>25.88139724731445</v>
      </c>
      <c r="AF33" s="84">
        <v>27.876277923583981</v>
      </c>
      <c r="AG33" s="84">
        <v>37.717214584350593</v>
      </c>
      <c r="AH33" s="84">
        <v>30.711934089660641</v>
      </c>
      <c r="AI33" s="84">
        <v>33.649757385253913</v>
      </c>
      <c r="AJ33" s="84">
        <v>28.864825248718262</v>
      </c>
      <c r="AK33" s="84">
        <v>32.456039428710938</v>
      </c>
      <c r="AL33" s="84">
        <v>28.750565528869629</v>
      </c>
      <c r="AM33" s="84">
        <v>30.960238456726071</v>
      </c>
      <c r="AN33" s="84">
        <v>28.47160720825195</v>
      </c>
      <c r="AO33" s="84">
        <v>33.803977966308587</v>
      </c>
      <c r="AP33" s="84">
        <v>28.823869705200199</v>
      </c>
      <c r="AQ33" s="85"/>
      <c r="AR33" s="84">
        <v>-1.2856922149658201</v>
      </c>
      <c r="AS33" s="84">
        <v>-1.821134567260742</v>
      </c>
      <c r="AT33" s="84">
        <v>-0.88303661346435547</v>
      </c>
      <c r="AU33" s="84">
        <v>-1.994880676269531</v>
      </c>
      <c r="AV33" s="84">
        <v>7.0052804946899414</v>
      </c>
      <c r="AW33" s="84">
        <v>4.7849321365356454</v>
      </c>
      <c r="AX33" s="84">
        <v>3.705473899841309</v>
      </c>
      <c r="AY33" s="84">
        <v>2.4886312484741211</v>
      </c>
      <c r="AZ33" s="84">
        <v>4.9801082611083984</v>
      </c>
      <c r="BA33" s="85"/>
      <c r="BB33" s="83" t="s">
        <v>21</v>
      </c>
      <c r="BC33" s="83">
        <v>98.8</v>
      </c>
    </row>
    <row r="34" spans="1:55">
      <c r="A34" s="83" t="s">
        <v>214</v>
      </c>
      <c r="B34" s="83">
        <v>7</v>
      </c>
      <c r="C34" s="83">
        <v>7</v>
      </c>
      <c r="D34" s="83" t="s">
        <v>233</v>
      </c>
      <c r="E34" s="83" t="s">
        <v>234</v>
      </c>
      <c r="F34" s="83"/>
      <c r="G34" s="83"/>
      <c r="H34" s="83" t="s">
        <v>235</v>
      </c>
      <c r="I34" s="83" t="s">
        <v>21</v>
      </c>
      <c r="J34" s="83">
        <v>79</v>
      </c>
      <c r="K34" s="83" t="s">
        <v>22</v>
      </c>
      <c r="L34" s="83">
        <v>20210112</v>
      </c>
      <c r="M34" s="83"/>
      <c r="N34" s="83"/>
      <c r="O34" s="99">
        <f t="shared" si="0"/>
        <v>98.9</v>
      </c>
      <c r="Q34" s="83">
        <v>47.68</v>
      </c>
      <c r="R34" s="83">
        <v>1.34</v>
      </c>
      <c r="S34" s="83">
        <v>0.46</v>
      </c>
      <c r="T34" s="83">
        <v>30</v>
      </c>
      <c r="U34" s="83">
        <v>1430.3</v>
      </c>
      <c r="V34" s="83"/>
      <c r="W34" s="84">
        <v>26.250125885009769</v>
      </c>
      <c r="X34" s="84">
        <v>25.949980735778809</v>
      </c>
      <c r="Y34" s="84"/>
      <c r="Z34" s="84"/>
      <c r="AA34" s="84">
        <v>24.54441070556641</v>
      </c>
      <c r="AB34" s="84">
        <v>25.957157135009769</v>
      </c>
      <c r="AC34" s="84">
        <v>23.483121871948239</v>
      </c>
      <c r="AD34" s="84">
        <v>25.05853366851807</v>
      </c>
      <c r="AE34" s="84">
        <v>23.710227012634281</v>
      </c>
      <c r="AF34" s="84">
        <v>25.28768348693848</v>
      </c>
      <c r="AG34" s="84">
        <v>35.129922866821289</v>
      </c>
      <c r="AH34" s="84">
        <v>27.916190147399899</v>
      </c>
      <c r="AI34" s="84">
        <v>32.066211700439453</v>
      </c>
      <c r="AJ34" s="84">
        <v>26.01137733459473</v>
      </c>
      <c r="AK34" s="84">
        <v>29.612837791442871</v>
      </c>
      <c r="AL34" s="84">
        <v>26.00193023681641</v>
      </c>
      <c r="AM34" s="84">
        <v>29.540103912353519</v>
      </c>
      <c r="AN34" s="84">
        <v>25.871405601501461</v>
      </c>
      <c r="AO34" s="84">
        <v>31.667819023132321</v>
      </c>
      <c r="AP34" s="84">
        <v>25.954428672790531</v>
      </c>
      <c r="AQ34" s="85"/>
      <c r="AR34" s="84">
        <v>0.30014514923095698</v>
      </c>
      <c r="AS34" s="84">
        <v>-1.4127464294433589</v>
      </c>
      <c r="AT34" s="84">
        <v>-1.575411796569824</v>
      </c>
      <c r="AU34" s="84">
        <v>-1.577456474304199</v>
      </c>
      <c r="AV34" s="84">
        <v>7.2137327194213867</v>
      </c>
      <c r="AW34" s="84">
        <v>6.0548343658447266</v>
      </c>
      <c r="AX34" s="84">
        <v>3.6109075546264648</v>
      </c>
      <c r="AY34" s="84">
        <v>3.6686983108520508</v>
      </c>
      <c r="AZ34" s="84">
        <v>5.7133903503417969</v>
      </c>
      <c r="BA34" s="85"/>
      <c r="BB34" s="83" t="s">
        <v>21</v>
      </c>
      <c r="BC34" s="83">
        <v>98.9</v>
      </c>
    </row>
    <row r="35" spans="1:55">
      <c r="A35" s="83" t="s">
        <v>214</v>
      </c>
      <c r="B35" s="83">
        <v>8</v>
      </c>
      <c r="C35" s="83">
        <v>8</v>
      </c>
      <c r="D35" s="83" t="s">
        <v>236</v>
      </c>
      <c r="E35" s="83" t="s">
        <v>237</v>
      </c>
      <c r="F35" s="83"/>
      <c r="G35" s="83"/>
      <c r="H35" s="83" t="s">
        <v>238</v>
      </c>
      <c r="I35" s="83" t="s">
        <v>21</v>
      </c>
      <c r="J35" s="83">
        <v>80</v>
      </c>
      <c r="K35" s="83" t="s">
        <v>22</v>
      </c>
      <c r="L35" s="83">
        <v>20190812</v>
      </c>
      <c r="M35" s="83"/>
      <c r="N35" s="83"/>
      <c r="O35" s="99">
        <f t="shared" si="0"/>
        <v>93.5</v>
      </c>
      <c r="Q35" s="83">
        <v>34.020000000000003</v>
      </c>
      <c r="R35" s="83">
        <v>1.33</v>
      </c>
      <c r="S35" s="83">
        <v>0.44</v>
      </c>
      <c r="T35" s="83">
        <v>30</v>
      </c>
      <c r="U35" s="83">
        <v>1020.5</v>
      </c>
      <c r="V35" s="83"/>
      <c r="W35" s="84">
        <v>26.304183959960941</v>
      </c>
      <c r="X35" s="84">
        <v>26.977445602416989</v>
      </c>
      <c r="Y35" s="84"/>
      <c r="Z35" s="84"/>
      <c r="AA35" s="84">
        <v>25.778803825378422</v>
      </c>
      <c r="AB35" s="84">
        <v>26.953971862792969</v>
      </c>
      <c r="AC35" s="84">
        <v>26.283920288085941</v>
      </c>
      <c r="AD35" s="84">
        <v>26.14593505859375</v>
      </c>
      <c r="AE35" s="84">
        <v>25.993157386779789</v>
      </c>
      <c r="AF35" s="84">
        <v>26.679010391235352</v>
      </c>
      <c r="AG35" s="84">
        <v>39.07769775390625</v>
      </c>
      <c r="AH35" s="84">
        <v>28.97305870056152</v>
      </c>
      <c r="AI35" s="84">
        <v>33.201923370361328</v>
      </c>
      <c r="AJ35" s="84">
        <v>27.16057014465332</v>
      </c>
      <c r="AK35" s="84">
        <v>32.114469528198242</v>
      </c>
      <c r="AL35" s="84">
        <v>27.07334041595459</v>
      </c>
      <c r="AM35" s="84">
        <v>30.761466979980469</v>
      </c>
      <c r="AN35" s="84">
        <v>26.448197364807129</v>
      </c>
      <c r="AO35" s="84">
        <v>34.060911178588867</v>
      </c>
      <c r="AP35" s="84">
        <v>26.99288272857666</v>
      </c>
      <c r="AQ35" s="85"/>
      <c r="AR35" s="84">
        <v>-0.67326164245605469</v>
      </c>
      <c r="AS35" s="84">
        <v>-1.175168037414551</v>
      </c>
      <c r="AT35" s="84">
        <v>0.1379852294921875</v>
      </c>
      <c r="AU35" s="84">
        <v>-0.68585300445556641</v>
      </c>
      <c r="AV35" s="84">
        <v>10.10463905334473</v>
      </c>
      <c r="AW35" s="84">
        <v>6.0413532257080078</v>
      </c>
      <c r="AX35" s="84">
        <v>5.0411291122436523</v>
      </c>
      <c r="AY35" s="84">
        <v>4.3132696151733398</v>
      </c>
      <c r="AZ35" s="84">
        <v>7.068028450012207</v>
      </c>
      <c r="BA35" s="85"/>
      <c r="BB35" s="83" t="s">
        <v>21</v>
      </c>
      <c r="BC35" s="83">
        <v>93.5</v>
      </c>
    </row>
    <row r="36" spans="1:55">
      <c r="A36" s="83" t="s">
        <v>214</v>
      </c>
      <c r="B36" s="83">
        <v>9</v>
      </c>
      <c r="C36" s="83">
        <v>9</v>
      </c>
      <c r="D36" s="83" t="s">
        <v>239</v>
      </c>
      <c r="E36" s="83" t="s">
        <v>240</v>
      </c>
      <c r="F36" s="83"/>
      <c r="G36" s="83"/>
      <c r="H36" s="83" t="s">
        <v>241</v>
      </c>
      <c r="I36" s="83" t="s">
        <v>21</v>
      </c>
      <c r="J36" s="83">
        <v>81</v>
      </c>
      <c r="K36" s="83" t="s">
        <v>22</v>
      </c>
      <c r="L36" s="83">
        <v>20190508</v>
      </c>
      <c r="M36" s="83"/>
      <c r="N36" s="83"/>
      <c r="O36" s="99">
        <f t="shared" si="0"/>
        <v>91.2</v>
      </c>
      <c r="Q36" s="83">
        <v>47.55</v>
      </c>
      <c r="R36" s="83">
        <v>1.36</v>
      </c>
      <c r="S36" s="83">
        <v>0.47</v>
      </c>
      <c r="T36" s="83">
        <v>30</v>
      </c>
      <c r="U36" s="83">
        <v>1426.5</v>
      </c>
      <c r="V36" s="83"/>
      <c r="W36" s="84">
        <v>26.626113891601559</v>
      </c>
      <c r="X36" s="84">
        <v>26.699151039123539</v>
      </c>
      <c r="Y36" s="84"/>
      <c r="Z36" s="84"/>
      <c r="AA36" s="84">
        <v>26.175350189208981</v>
      </c>
      <c r="AB36" s="84">
        <v>26.717814445495609</v>
      </c>
      <c r="AC36" s="84">
        <v>25.82192325592041</v>
      </c>
      <c r="AD36" s="84">
        <v>25.767731666564941</v>
      </c>
      <c r="AE36" s="84">
        <v>25.257304191589359</v>
      </c>
      <c r="AF36" s="84">
        <v>26.171638488769531</v>
      </c>
      <c r="AG36" s="84">
        <v>38.146656036376953</v>
      </c>
      <c r="AH36" s="84">
        <v>28.657876968383789</v>
      </c>
      <c r="AI36" s="84">
        <v>33.787958145141602</v>
      </c>
      <c r="AJ36" s="84">
        <v>26.774868011474609</v>
      </c>
      <c r="AK36" s="84">
        <v>32.222360610961907</v>
      </c>
      <c r="AL36" s="84">
        <v>26.7774543762207</v>
      </c>
      <c r="AM36" s="84">
        <v>30.928840637207031</v>
      </c>
      <c r="AN36" s="84">
        <v>26.670974731445309</v>
      </c>
      <c r="AO36" s="84">
        <v>33.572546005249023</v>
      </c>
      <c r="AP36" s="84">
        <v>26.665067672729489</v>
      </c>
      <c r="AQ36" s="85"/>
      <c r="AR36" s="84">
        <v>-7.3037147521972656E-2</v>
      </c>
      <c r="AS36" s="84">
        <v>-0.54246425628662109</v>
      </c>
      <c r="AT36" s="84">
        <v>5.419158935546875E-2</v>
      </c>
      <c r="AU36" s="84">
        <v>-0.91433429718017578</v>
      </c>
      <c r="AV36" s="84">
        <v>9.4887790679931641</v>
      </c>
      <c r="AW36" s="84">
        <v>7.0130901336669922</v>
      </c>
      <c r="AX36" s="84">
        <v>5.4449062347412109</v>
      </c>
      <c r="AY36" s="84">
        <v>4.2578659057617188</v>
      </c>
      <c r="AZ36" s="84">
        <v>6.9074783325195312</v>
      </c>
      <c r="BA36" s="85"/>
      <c r="BB36" s="83" t="s">
        <v>21</v>
      </c>
      <c r="BC36" s="83">
        <v>91.2</v>
      </c>
    </row>
    <row r="37" spans="1:55">
      <c r="A37" s="83" t="s">
        <v>214</v>
      </c>
      <c r="B37" s="83">
        <v>10</v>
      </c>
      <c r="C37" s="83">
        <v>10</v>
      </c>
      <c r="D37" s="83" t="s">
        <v>242</v>
      </c>
      <c r="E37" s="83" t="s">
        <v>243</v>
      </c>
      <c r="F37" s="83"/>
      <c r="G37" s="83"/>
      <c r="H37" s="83" t="s">
        <v>244</v>
      </c>
      <c r="I37" s="83" t="s">
        <v>21</v>
      </c>
      <c r="J37" s="83">
        <v>81</v>
      </c>
      <c r="K37" s="83" t="s">
        <v>22</v>
      </c>
      <c r="L37" s="83">
        <v>20190730</v>
      </c>
      <c r="M37" s="83"/>
      <c r="N37" s="83"/>
      <c r="O37" s="99">
        <f t="shared" si="0"/>
        <v>80.900000000000006</v>
      </c>
      <c r="Q37" s="83">
        <v>57.95</v>
      </c>
      <c r="R37" s="83">
        <v>1.37</v>
      </c>
      <c r="S37" s="83">
        <v>0.48</v>
      </c>
      <c r="T37" s="83">
        <v>30</v>
      </c>
      <c r="U37" s="83">
        <v>1738.5</v>
      </c>
      <c r="V37" s="83"/>
      <c r="W37" s="84">
        <v>29.630588531494141</v>
      </c>
      <c r="X37" s="84">
        <v>27.177470207214359</v>
      </c>
      <c r="Y37" s="84"/>
      <c r="Z37" s="84"/>
      <c r="AA37" s="84">
        <v>27.905719757080082</v>
      </c>
      <c r="AB37" s="84">
        <v>26.813823699951168</v>
      </c>
      <c r="AC37" s="84">
        <v>27.517514228820801</v>
      </c>
      <c r="AD37" s="84">
        <v>26.051166534423832</v>
      </c>
      <c r="AE37" s="84">
        <v>26.45999908447266</v>
      </c>
      <c r="AF37" s="84">
        <v>26.499506950378422</v>
      </c>
      <c r="AG37" s="84">
        <v>40</v>
      </c>
      <c r="AH37" s="84">
        <v>28.700529098510739</v>
      </c>
      <c r="AI37" s="84">
        <v>38.296194076538093</v>
      </c>
      <c r="AJ37" s="84">
        <v>26.828054428100589</v>
      </c>
      <c r="AK37" s="84">
        <v>32.740236282348633</v>
      </c>
      <c r="AL37" s="84">
        <v>26.866228103637699</v>
      </c>
      <c r="AM37" s="84">
        <v>34.218307495117188</v>
      </c>
      <c r="AN37" s="84">
        <v>26.909868240356449</v>
      </c>
      <c r="AO37" s="84">
        <v>36.834365844726562</v>
      </c>
      <c r="AP37" s="84">
        <v>27.009469032287601</v>
      </c>
      <c r="AQ37" s="85"/>
      <c r="AR37" s="84">
        <v>2.4531183242797852</v>
      </c>
      <c r="AS37" s="84">
        <v>1.091896057128906</v>
      </c>
      <c r="AT37" s="84">
        <v>1.4663476943969731</v>
      </c>
      <c r="AU37" s="84">
        <v>-3.9507865905761719E-2</v>
      </c>
      <c r="AV37" s="84">
        <v>11.29947090148926</v>
      </c>
      <c r="AW37" s="84">
        <v>11.4681396484375</v>
      </c>
      <c r="AX37" s="84">
        <v>5.8740081787109384</v>
      </c>
      <c r="AY37" s="84">
        <v>7.3084392547607422</v>
      </c>
      <c r="AZ37" s="84">
        <v>9.8248968124389648</v>
      </c>
      <c r="BA37" s="85"/>
      <c r="BB37" s="83" t="s">
        <v>21</v>
      </c>
      <c r="BC37" s="83">
        <v>80.900000000000006</v>
      </c>
    </row>
    <row r="38" spans="1:55">
      <c r="A38" s="83" t="s">
        <v>214</v>
      </c>
      <c r="B38" s="83">
        <v>11</v>
      </c>
      <c r="C38" s="83">
        <v>11</v>
      </c>
      <c r="D38" s="83" t="s">
        <v>245</v>
      </c>
      <c r="E38" s="83" t="s">
        <v>246</v>
      </c>
      <c r="F38" s="83"/>
      <c r="G38" s="83"/>
      <c r="H38" s="83" t="s">
        <v>247</v>
      </c>
      <c r="I38" s="83" t="s">
        <v>21</v>
      </c>
      <c r="J38" s="83">
        <v>83</v>
      </c>
      <c r="K38" s="83" t="s">
        <v>22</v>
      </c>
      <c r="L38" s="83">
        <v>20190625</v>
      </c>
      <c r="M38" s="83"/>
      <c r="N38" s="83"/>
      <c r="O38" s="99">
        <f t="shared" si="0"/>
        <v>98.4</v>
      </c>
      <c r="Q38" s="83">
        <v>40.49</v>
      </c>
      <c r="R38" s="83">
        <v>1.32</v>
      </c>
      <c r="S38" s="83">
        <v>0.45</v>
      </c>
      <c r="T38" s="83">
        <v>30</v>
      </c>
      <c r="U38" s="83">
        <v>1214.5999999999999</v>
      </c>
      <c r="V38" s="83"/>
      <c r="W38" s="84">
        <v>27.083975791931149</v>
      </c>
      <c r="X38" s="84">
        <v>27.00955867767334</v>
      </c>
      <c r="Y38" s="84"/>
      <c r="Z38" s="84"/>
      <c r="AA38" s="84">
        <v>26.44419002532959</v>
      </c>
      <c r="AB38" s="84">
        <v>26.891867637634281</v>
      </c>
      <c r="AC38" s="84">
        <v>24.589456558227539</v>
      </c>
      <c r="AD38" s="84">
        <v>25.86888599395752</v>
      </c>
      <c r="AE38" s="84">
        <v>24.396639823913571</v>
      </c>
      <c r="AF38" s="84">
        <v>26.115120887756351</v>
      </c>
      <c r="AG38" s="84">
        <v>35.975183486938477</v>
      </c>
      <c r="AH38" s="84">
        <v>28.7234354019165</v>
      </c>
      <c r="AI38" s="84">
        <v>33.893095016479492</v>
      </c>
      <c r="AJ38" s="84">
        <v>26.963815689086911</v>
      </c>
      <c r="AK38" s="84">
        <v>30.642679214477539</v>
      </c>
      <c r="AL38" s="84">
        <v>26.92305755615234</v>
      </c>
      <c r="AM38" s="84">
        <v>31.651066780090328</v>
      </c>
      <c r="AN38" s="84">
        <v>26.958831787109379</v>
      </c>
      <c r="AO38" s="84">
        <v>33.128765106201172</v>
      </c>
      <c r="AP38" s="84">
        <v>26.946592330932621</v>
      </c>
      <c r="AQ38" s="85"/>
      <c r="AR38" s="84">
        <v>7.44171142578125E-2</v>
      </c>
      <c r="AS38" s="84">
        <v>-0.4476776123046875</v>
      </c>
      <c r="AT38" s="84">
        <v>-1.27942943572998</v>
      </c>
      <c r="AU38" s="84">
        <v>-1.718481063842773</v>
      </c>
      <c r="AV38" s="84">
        <v>7.2517480850219727</v>
      </c>
      <c r="AW38" s="84">
        <v>6.9292793273925781</v>
      </c>
      <c r="AX38" s="84">
        <v>3.7196216583251949</v>
      </c>
      <c r="AY38" s="84">
        <v>4.692234992980957</v>
      </c>
      <c r="AZ38" s="84">
        <v>6.1821727752685547</v>
      </c>
      <c r="BA38" s="85"/>
      <c r="BB38" s="83" t="s">
        <v>21</v>
      </c>
      <c r="BC38" s="83">
        <v>98.4</v>
      </c>
    </row>
    <row r="39" spans="1:55" s="88" customFormat="1" ht="17">
      <c r="A39" s="86" t="s">
        <v>214</v>
      </c>
      <c r="B39" s="86">
        <v>12</v>
      </c>
      <c r="C39" s="86">
        <v>12</v>
      </c>
      <c r="D39" s="86" t="s">
        <v>248</v>
      </c>
      <c r="E39" s="86" t="s">
        <v>249</v>
      </c>
      <c r="F39" s="86"/>
      <c r="G39" s="86"/>
      <c r="H39" s="86" t="s">
        <v>250</v>
      </c>
      <c r="I39" s="86" t="s">
        <v>21</v>
      </c>
      <c r="J39" s="86">
        <v>83</v>
      </c>
      <c r="K39" s="86" t="s">
        <v>22</v>
      </c>
      <c r="L39" s="86">
        <v>20210406</v>
      </c>
      <c r="M39" s="86"/>
      <c r="N39" s="86"/>
      <c r="O39" s="87">
        <f t="shared" si="0"/>
        <v>63.7</v>
      </c>
      <c r="Q39" s="86">
        <v>34.65</v>
      </c>
      <c r="R39" s="86">
        <v>1.32</v>
      </c>
      <c r="S39" s="86">
        <v>0.45</v>
      </c>
      <c r="T39" s="86">
        <v>30</v>
      </c>
      <c r="U39" s="86">
        <v>1039.5999999999999</v>
      </c>
      <c r="V39" s="86"/>
      <c r="W39" s="89">
        <v>29.442655563354489</v>
      </c>
      <c r="X39" s="89">
        <v>26.673979759216309</v>
      </c>
      <c r="Y39" s="89"/>
      <c r="Z39" s="89"/>
      <c r="AA39" s="89">
        <v>28.359831809997559</v>
      </c>
      <c r="AB39" s="89">
        <v>26.562040328979489</v>
      </c>
      <c r="AC39" s="89">
        <v>27.925332069396969</v>
      </c>
      <c r="AD39" s="89">
        <v>25.947539329528809</v>
      </c>
      <c r="AE39" s="89">
        <v>26.252500534057621</v>
      </c>
      <c r="AF39" s="89">
        <v>26.209284782409672</v>
      </c>
      <c r="AG39" s="89">
        <v>39.316812515258789</v>
      </c>
      <c r="AH39" s="89">
        <v>28.42274379730225</v>
      </c>
      <c r="AI39" s="89">
        <v>38.270229339599609</v>
      </c>
      <c r="AJ39" s="89">
        <v>26.54492282867432</v>
      </c>
      <c r="AK39" s="89">
        <v>33.709924697875977</v>
      </c>
      <c r="AL39" s="89">
        <v>26.601813316345211</v>
      </c>
      <c r="AM39" s="89">
        <v>34.239406585693359</v>
      </c>
      <c r="AN39" s="89">
        <v>26.67359828948975</v>
      </c>
      <c r="AO39" s="89">
        <v>37.276935577392578</v>
      </c>
      <c r="AP39" s="89">
        <v>26.659738540649411</v>
      </c>
      <c r="AQ39" s="90"/>
      <c r="AR39" s="89">
        <v>2.768675804138184</v>
      </c>
      <c r="AS39" s="89">
        <v>1.797791481018066</v>
      </c>
      <c r="AT39" s="89">
        <v>1.9777927398681641</v>
      </c>
      <c r="AU39" s="89">
        <v>4.3215751647949219E-2</v>
      </c>
      <c r="AV39" s="89">
        <v>10.894068717956539</v>
      </c>
      <c r="AW39" s="89">
        <v>11.725306510925289</v>
      </c>
      <c r="AX39" s="89">
        <v>7.1081113815307617</v>
      </c>
      <c r="AY39" s="89">
        <v>7.5658082962036133</v>
      </c>
      <c r="AZ39" s="89">
        <v>10.617197036743161</v>
      </c>
      <c r="BA39" s="90"/>
      <c r="BB39" s="86" t="s">
        <v>21</v>
      </c>
      <c r="BC39" s="86">
        <v>63.7</v>
      </c>
    </row>
    <row r="40" spans="1:55">
      <c r="A40" s="83" t="s">
        <v>214</v>
      </c>
      <c r="B40" s="83">
        <v>13</v>
      </c>
      <c r="C40" s="83">
        <v>13</v>
      </c>
      <c r="D40" s="83" t="s">
        <v>251</v>
      </c>
      <c r="E40" s="83" t="s">
        <v>252</v>
      </c>
      <c r="F40" s="83"/>
      <c r="G40" s="83"/>
      <c r="H40" s="83" t="s">
        <v>253</v>
      </c>
      <c r="I40" s="83" t="s">
        <v>21</v>
      </c>
      <c r="J40" s="83">
        <v>83</v>
      </c>
      <c r="K40" s="83" t="s">
        <v>22</v>
      </c>
      <c r="L40" s="83">
        <v>20190813</v>
      </c>
      <c r="M40" s="83"/>
      <c r="N40" s="83"/>
      <c r="O40" s="99">
        <f t="shared" si="0"/>
        <v>97.9</v>
      </c>
      <c r="Q40" s="83">
        <v>46.96</v>
      </c>
      <c r="R40" s="83">
        <v>1.33</v>
      </c>
      <c r="S40" s="83">
        <v>0.45</v>
      </c>
      <c r="T40" s="83">
        <v>30</v>
      </c>
      <c r="U40" s="83">
        <v>1408.8</v>
      </c>
      <c r="V40" s="83"/>
      <c r="W40" s="84">
        <v>26.491237640380859</v>
      </c>
      <c r="X40" s="84">
        <v>27.635905265808109</v>
      </c>
      <c r="Y40" s="84"/>
      <c r="Z40" s="84"/>
      <c r="AA40" s="84">
        <v>26.154788970947269</v>
      </c>
      <c r="AB40" s="84">
        <v>27.62785625457764</v>
      </c>
      <c r="AC40" s="84">
        <v>26.055638313293461</v>
      </c>
      <c r="AD40" s="84">
        <v>26.881305694580082</v>
      </c>
      <c r="AE40" s="84">
        <v>25.616582870483398</v>
      </c>
      <c r="AF40" s="84">
        <v>27.104691505432129</v>
      </c>
      <c r="AG40" s="84">
        <v>37.020336151123047</v>
      </c>
      <c r="AH40" s="84">
        <v>29.627935409545898</v>
      </c>
      <c r="AI40" s="84">
        <v>32.928041458129883</v>
      </c>
      <c r="AJ40" s="84">
        <v>27.895230293273929</v>
      </c>
      <c r="AK40" s="84">
        <v>32.373001098632812</v>
      </c>
      <c r="AL40" s="84">
        <v>27.892437934875488</v>
      </c>
      <c r="AM40" s="84">
        <v>30.36623477935791</v>
      </c>
      <c r="AN40" s="84">
        <v>27.52277755737305</v>
      </c>
      <c r="AO40" s="84">
        <v>33.269594192504883</v>
      </c>
      <c r="AP40" s="84">
        <v>27.667021751403809</v>
      </c>
      <c r="AQ40" s="85"/>
      <c r="AR40" s="84">
        <v>-1.1446676254272461</v>
      </c>
      <c r="AS40" s="84">
        <v>-1.4730672836303711</v>
      </c>
      <c r="AT40" s="84">
        <v>-0.82566738128662109</v>
      </c>
      <c r="AU40" s="84">
        <v>-1.48810863494873</v>
      </c>
      <c r="AV40" s="84">
        <v>7.3924007415771484</v>
      </c>
      <c r="AW40" s="84">
        <v>5.032811164855957</v>
      </c>
      <c r="AX40" s="84">
        <v>4.4805631637573242</v>
      </c>
      <c r="AY40" s="84">
        <v>2.8434572219848628</v>
      </c>
      <c r="AZ40" s="84">
        <v>5.6025724411010742</v>
      </c>
      <c r="BA40" s="85"/>
      <c r="BB40" s="83" t="s">
        <v>21</v>
      </c>
      <c r="BC40" s="83">
        <v>97.9</v>
      </c>
    </row>
    <row r="41" spans="1:55">
      <c r="A41" s="83" t="s">
        <v>214</v>
      </c>
      <c r="B41" s="83">
        <v>14</v>
      </c>
      <c r="C41" s="83">
        <v>14</v>
      </c>
      <c r="D41" s="83" t="s">
        <v>254</v>
      </c>
      <c r="E41" s="83" t="s">
        <v>255</v>
      </c>
      <c r="F41" s="83"/>
      <c r="G41" s="83"/>
      <c r="H41" s="83" t="s">
        <v>256</v>
      </c>
      <c r="I41" s="83" t="s">
        <v>21</v>
      </c>
      <c r="J41" s="83">
        <v>83</v>
      </c>
      <c r="K41" s="83" t="s">
        <v>22</v>
      </c>
      <c r="L41" s="83">
        <v>20200908</v>
      </c>
      <c r="M41" s="83"/>
      <c r="N41" s="83"/>
      <c r="O41" s="99">
        <f t="shared" si="0"/>
        <v>71.2</v>
      </c>
      <c r="Q41" s="83">
        <v>34.04</v>
      </c>
      <c r="R41" s="83">
        <v>1.31</v>
      </c>
      <c r="S41" s="83">
        <v>0.44</v>
      </c>
      <c r="T41" s="83">
        <v>30</v>
      </c>
      <c r="U41" s="83">
        <v>1021.2</v>
      </c>
      <c r="V41" s="83"/>
      <c r="W41" s="84">
        <v>25.812405586242679</v>
      </c>
      <c r="X41" s="84">
        <v>26.79809474945068</v>
      </c>
      <c r="Y41" s="84"/>
      <c r="Z41" s="84"/>
      <c r="AA41" s="84">
        <v>25.46877384185791</v>
      </c>
      <c r="AB41" s="84">
        <v>26.77252197265625</v>
      </c>
      <c r="AC41" s="84">
        <v>28.050459861755371</v>
      </c>
      <c r="AD41" s="84">
        <v>26.888137817382809</v>
      </c>
      <c r="AE41" s="84">
        <v>27.338047027587891</v>
      </c>
      <c r="AF41" s="84">
        <v>26.741901397705082</v>
      </c>
      <c r="AG41" s="84">
        <v>39.235698699951172</v>
      </c>
      <c r="AH41" s="84">
        <v>28.81260967254639</v>
      </c>
      <c r="AI41" s="84">
        <v>32.763385772705078</v>
      </c>
      <c r="AJ41" s="84">
        <v>26.989950180053711</v>
      </c>
      <c r="AK41" s="84">
        <v>34.783336639404297</v>
      </c>
      <c r="AL41" s="84">
        <v>26.949934959411621</v>
      </c>
      <c r="AM41" s="84">
        <v>29.957522392272949</v>
      </c>
      <c r="AN41" s="84">
        <v>26.798020362854</v>
      </c>
      <c r="AO41" s="84">
        <v>34.112367630004883</v>
      </c>
      <c r="AP41" s="84">
        <v>26.944404602050781</v>
      </c>
      <c r="AQ41" s="85"/>
      <c r="AR41" s="84">
        <v>-0.98568916320800781</v>
      </c>
      <c r="AS41" s="84">
        <v>-1.3037481307983401</v>
      </c>
      <c r="AT41" s="84">
        <v>1.162322044372559</v>
      </c>
      <c r="AU41" s="84">
        <v>0.5961456298828125</v>
      </c>
      <c r="AV41" s="84">
        <v>10.42308902740479</v>
      </c>
      <c r="AW41" s="84">
        <v>5.7734355926513672</v>
      </c>
      <c r="AX41" s="84">
        <v>7.8334016799926758</v>
      </c>
      <c r="AY41" s="84">
        <v>3.1595020294189449</v>
      </c>
      <c r="AZ41" s="84">
        <v>7.1679630279541016</v>
      </c>
      <c r="BA41" s="85"/>
      <c r="BB41" s="83" t="s">
        <v>21</v>
      </c>
      <c r="BC41" s="83">
        <v>71.2</v>
      </c>
    </row>
    <row r="42" spans="1:55">
      <c r="A42" s="83" t="s">
        <v>214</v>
      </c>
      <c r="B42" s="83">
        <v>15</v>
      </c>
      <c r="C42" s="83">
        <v>15</v>
      </c>
      <c r="D42" s="83" t="s">
        <v>257</v>
      </c>
      <c r="E42" s="83" t="s">
        <v>258</v>
      </c>
      <c r="F42" s="83"/>
      <c r="G42" s="83"/>
      <c r="H42" s="83" t="s">
        <v>259</v>
      </c>
      <c r="I42" s="83" t="s">
        <v>21</v>
      </c>
      <c r="J42" s="83">
        <v>85</v>
      </c>
      <c r="K42" s="83" t="s">
        <v>22</v>
      </c>
      <c r="L42" s="83">
        <v>20201216</v>
      </c>
      <c r="M42" s="83"/>
      <c r="N42" s="83"/>
      <c r="O42" s="99">
        <f t="shared" si="0"/>
        <v>98.8</v>
      </c>
      <c r="Q42" s="83">
        <v>55.44</v>
      </c>
      <c r="R42" s="83">
        <v>1.35</v>
      </c>
      <c r="S42" s="83">
        <v>0.47</v>
      </c>
      <c r="T42" s="83">
        <v>30</v>
      </c>
      <c r="U42" s="83">
        <v>1663.3</v>
      </c>
      <c r="V42" s="83"/>
      <c r="W42" s="84">
        <v>25.740513801574711</v>
      </c>
      <c r="X42" s="84">
        <v>27.326390266418461</v>
      </c>
      <c r="Y42" s="84"/>
      <c r="Z42" s="84"/>
      <c r="AA42" s="84">
        <v>25.316884994506839</v>
      </c>
      <c r="AB42" s="84">
        <v>27.254513740539551</v>
      </c>
      <c r="AC42" s="84">
        <v>25.00284385681152</v>
      </c>
      <c r="AD42" s="84">
        <v>26.399323463439941</v>
      </c>
      <c r="AE42" s="84">
        <v>24.924249649047852</v>
      </c>
      <c r="AF42" s="84">
        <v>26.77394962310791</v>
      </c>
      <c r="AG42" s="84">
        <v>36.887184143066413</v>
      </c>
      <c r="AH42" s="84">
        <v>29.462189674377441</v>
      </c>
      <c r="AI42" s="84">
        <v>32.100580215454102</v>
      </c>
      <c r="AJ42" s="84">
        <v>27.515898704528809</v>
      </c>
      <c r="AK42" s="84">
        <v>31.117008209228519</v>
      </c>
      <c r="AL42" s="84">
        <v>27.518310546875</v>
      </c>
      <c r="AM42" s="84">
        <v>29.579911231994629</v>
      </c>
      <c r="AN42" s="84">
        <v>27.261868476867679</v>
      </c>
      <c r="AO42" s="84">
        <v>32.394033432006843</v>
      </c>
      <c r="AP42" s="84">
        <v>27.537884712219238</v>
      </c>
      <c r="AQ42" s="85"/>
      <c r="AR42" s="84">
        <v>-1.58587646484375</v>
      </c>
      <c r="AS42" s="84">
        <v>-1.9376287460327151</v>
      </c>
      <c r="AT42" s="84">
        <v>-1.396479606628418</v>
      </c>
      <c r="AU42" s="84">
        <v>-1.849699974060059</v>
      </c>
      <c r="AV42" s="84">
        <v>7.4249944686889648</v>
      </c>
      <c r="AW42" s="84">
        <v>4.584681510925293</v>
      </c>
      <c r="AX42" s="84">
        <v>3.5986976623535161</v>
      </c>
      <c r="AY42" s="84">
        <v>2.3180427551269531</v>
      </c>
      <c r="AZ42" s="84">
        <v>4.8561487197875977</v>
      </c>
      <c r="BA42" s="85"/>
      <c r="BB42" s="83" t="s">
        <v>21</v>
      </c>
      <c r="BC42" s="83">
        <v>98.8</v>
      </c>
    </row>
    <row r="43" spans="1:55" s="88" customFormat="1" ht="17">
      <c r="A43" s="86" t="s">
        <v>214</v>
      </c>
      <c r="B43" s="86">
        <v>16</v>
      </c>
      <c r="C43" s="86">
        <v>16</v>
      </c>
      <c r="D43" s="86" t="s">
        <v>260</v>
      </c>
      <c r="E43" s="86" t="s">
        <v>261</v>
      </c>
      <c r="F43" s="86"/>
      <c r="G43" s="86"/>
      <c r="H43" s="86" t="s">
        <v>262</v>
      </c>
      <c r="I43" s="86" t="s">
        <v>21</v>
      </c>
      <c r="J43" s="86">
        <v>68</v>
      </c>
      <c r="K43" s="86" t="s">
        <v>22</v>
      </c>
      <c r="L43" s="86">
        <v>20191106</v>
      </c>
      <c r="M43" s="86"/>
      <c r="N43" s="86"/>
      <c r="O43" s="87">
        <f t="shared" si="0"/>
        <v>24.1</v>
      </c>
      <c r="Q43" s="86">
        <v>51.51</v>
      </c>
      <c r="R43" s="86">
        <v>1.34</v>
      </c>
      <c r="S43" s="86">
        <v>0.47</v>
      </c>
      <c r="T43" s="86">
        <v>30</v>
      </c>
      <c r="U43" s="86">
        <v>1545.2</v>
      </c>
      <c r="V43" s="86"/>
      <c r="W43" s="89">
        <v>30.140938758850101</v>
      </c>
      <c r="X43" s="89">
        <v>25.750479698181149</v>
      </c>
      <c r="Y43" s="89"/>
      <c r="Z43" s="89"/>
      <c r="AA43" s="89">
        <v>28.018038749694821</v>
      </c>
      <c r="AB43" s="89">
        <v>25.712470054626461</v>
      </c>
      <c r="AC43" s="89">
        <v>26.86186599731445</v>
      </c>
      <c r="AD43" s="89">
        <v>24.959626197814941</v>
      </c>
      <c r="AE43" s="89">
        <v>28.997125625610352</v>
      </c>
      <c r="AF43" s="89">
        <v>25.709494590759281</v>
      </c>
      <c r="AG43" s="89">
        <v>40</v>
      </c>
      <c r="AH43" s="89">
        <v>27.363626480102539</v>
      </c>
      <c r="AI43" s="89">
        <v>40</v>
      </c>
      <c r="AJ43" s="89">
        <v>25.720576286315922</v>
      </c>
      <c r="AK43" s="89">
        <v>35.455907821655273</v>
      </c>
      <c r="AL43" s="89">
        <v>25.610898017883301</v>
      </c>
      <c r="AM43" s="89">
        <v>35.143932342529297</v>
      </c>
      <c r="AN43" s="89">
        <v>25.89699745178223</v>
      </c>
      <c r="AO43" s="89">
        <v>38.049354553222663</v>
      </c>
      <c r="AP43" s="89">
        <v>25.67729377746582</v>
      </c>
      <c r="AQ43" s="90"/>
      <c r="AR43" s="89">
        <v>4.3904590606689453</v>
      </c>
      <c r="AS43" s="89">
        <v>2.3055686950683589</v>
      </c>
      <c r="AT43" s="89">
        <v>1.9022397994995119</v>
      </c>
      <c r="AU43" s="89">
        <v>3.2876310348510742</v>
      </c>
      <c r="AV43" s="89">
        <v>12.636373519897459</v>
      </c>
      <c r="AW43" s="89">
        <v>14.27942371368408</v>
      </c>
      <c r="AX43" s="89">
        <v>9.8450098037719727</v>
      </c>
      <c r="AY43" s="89">
        <v>9.2469348907470703</v>
      </c>
      <c r="AZ43" s="89">
        <v>12.372060775756839</v>
      </c>
      <c r="BA43" s="90"/>
      <c r="BB43" s="86" t="s">
        <v>21</v>
      </c>
      <c r="BC43" s="86">
        <v>24.1</v>
      </c>
    </row>
    <row r="44" spans="1:55">
      <c r="A44" s="83" t="s">
        <v>214</v>
      </c>
      <c r="B44" s="83">
        <v>17</v>
      </c>
      <c r="C44" s="83">
        <v>17</v>
      </c>
      <c r="D44" s="83" t="s">
        <v>263</v>
      </c>
      <c r="E44" s="83" t="s">
        <v>264</v>
      </c>
      <c r="F44" s="83"/>
      <c r="G44" s="83"/>
      <c r="H44" s="83" t="s">
        <v>265</v>
      </c>
      <c r="I44" s="83" t="s">
        <v>21</v>
      </c>
      <c r="J44" s="83">
        <v>74</v>
      </c>
      <c r="K44" s="83" t="s">
        <v>22</v>
      </c>
      <c r="L44" s="83">
        <v>20190123</v>
      </c>
      <c r="M44" s="83"/>
      <c r="N44" s="83"/>
      <c r="O44" s="99">
        <f t="shared" si="0"/>
        <v>88.7</v>
      </c>
      <c r="Q44" s="83">
        <v>52.17</v>
      </c>
      <c r="R44" s="83">
        <v>1.36</v>
      </c>
      <c r="S44" s="83">
        <v>0.48</v>
      </c>
      <c r="T44" s="83">
        <v>30</v>
      </c>
      <c r="U44" s="83">
        <v>1565.2</v>
      </c>
      <c r="V44" s="83"/>
      <c r="W44" s="84">
        <v>26.591707229614261</v>
      </c>
      <c r="X44" s="84">
        <v>26.445732116699219</v>
      </c>
      <c r="Y44" s="84"/>
      <c r="Z44" s="84"/>
      <c r="AA44" s="84">
        <v>25.591926574707031</v>
      </c>
      <c r="AB44" s="84">
        <v>26.358029365539551</v>
      </c>
      <c r="AC44" s="84">
        <v>25.752556800842289</v>
      </c>
      <c r="AD44" s="84">
        <v>25.487312316894531</v>
      </c>
      <c r="AE44" s="84">
        <v>26.085796356201168</v>
      </c>
      <c r="AF44" s="84">
        <v>26.14146518707275</v>
      </c>
      <c r="AG44" s="84">
        <v>38.216550827026367</v>
      </c>
      <c r="AH44" s="84">
        <v>28.24615573883057</v>
      </c>
      <c r="AI44" s="84">
        <v>34.940603256225593</v>
      </c>
      <c r="AJ44" s="84">
        <v>26.480616569519039</v>
      </c>
      <c r="AK44" s="84">
        <v>33.115497589111328</v>
      </c>
      <c r="AL44" s="84">
        <v>26.575625419616699</v>
      </c>
      <c r="AM44" s="84">
        <v>31.137813568115231</v>
      </c>
      <c r="AN44" s="84">
        <v>26.564373016357418</v>
      </c>
      <c r="AO44" s="84">
        <v>35.392000198364258</v>
      </c>
      <c r="AP44" s="84">
        <v>26.582432746887211</v>
      </c>
      <c r="AQ44" s="85"/>
      <c r="AR44" s="84">
        <v>0.14597511291503909</v>
      </c>
      <c r="AS44" s="84">
        <v>-0.76610279083251953</v>
      </c>
      <c r="AT44" s="84">
        <v>0.26524448394775391</v>
      </c>
      <c r="AU44" s="84">
        <v>-5.5668830871582031E-2</v>
      </c>
      <c r="AV44" s="84">
        <v>9.9703950881958008</v>
      </c>
      <c r="AW44" s="84">
        <v>8.459986686706543</v>
      </c>
      <c r="AX44" s="84">
        <v>6.5398721694946289</v>
      </c>
      <c r="AY44" s="84">
        <v>4.5734405517578116</v>
      </c>
      <c r="AZ44" s="84">
        <v>8.8095674514770508</v>
      </c>
      <c r="BA44" s="85"/>
      <c r="BB44" s="83" t="s">
        <v>21</v>
      </c>
      <c r="BC44" s="83">
        <v>88.7</v>
      </c>
    </row>
    <row r="45" spans="1:55">
      <c r="A45" s="83" t="s">
        <v>214</v>
      </c>
      <c r="B45" s="83">
        <v>18</v>
      </c>
      <c r="C45" s="83">
        <v>18</v>
      </c>
      <c r="D45" s="83" t="s">
        <v>266</v>
      </c>
      <c r="E45" s="83" t="s">
        <v>267</v>
      </c>
      <c r="F45" s="83"/>
      <c r="G45" s="83"/>
      <c r="H45" s="83" t="s">
        <v>268</v>
      </c>
      <c r="I45" s="83" t="s">
        <v>21</v>
      </c>
      <c r="J45" s="83">
        <v>79</v>
      </c>
      <c r="K45" s="83" t="s">
        <v>22</v>
      </c>
      <c r="L45" s="83">
        <v>20210212</v>
      </c>
      <c r="M45" s="83"/>
      <c r="N45" s="83"/>
      <c r="O45" s="99">
        <f t="shared" si="0"/>
        <v>99.6</v>
      </c>
      <c r="Q45" s="83">
        <v>38.51</v>
      </c>
      <c r="R45" s="83">
        <v>1.33</v>
      </c>
      <c r="S45" s="83">
        <v>0.47</v>
      </c>
      <c r="T45" s="83">
        <v>30</v>
      </c>
      <c r="U45" s="83">
        <v>1155.4000000000001</v>
      </c>
      <c r="V45" s="83"/>
      <c r="W45" s="84">
        <v>26.324018478393551</v>
      </c>
      <c r="X45" s="84">
        <v>27.369719505310059</v>
      </c>
      <c r="Y45" s="84"/>
      <c r="Z45" s="84"/>
      <c r="AA45" s="84">
        <v>25.548906326293949</v>
      </c>
      <c r="AB45" s="84">
        <v>27.33099460601807</v>
      </c>
      <c r="AC45" s="84">
        <v>22.49103927612305</v>
      </c>
      <c r="AD45" s="84">
        <v>27.062657356262211</v>
      </c>
      <c r="AE45" s="84">
        <v>25.230588912963871</v>
      </c>
      <c r="AF45" s="84">
        <v>26.818587303161621</v>
      </c>
      <c r="AG45" s="84">
        <v>36.153556823730469</v>
      </c>
      <c r="AH45" s="84">
        <v>29.364565849304199</v>
      </c>
      <c r="AI45" s="84">
        <v>33.404607772827148</v>
      </c>
      <c r="AJ45" s="84">
        <v>27.56954383850098</v>
      </c>
      <c r="AK45" s="84">
        <v>30.04469108581543</v>
      </c>
      <c r="AL45" s="84">
        <v>27.49260425567627</v>
      </c>
      <c r="AM45" s="84">
        <v>29.931440353393551</v>
      </c>
      <c r="AN45" s="84">
        <v>27.245692253112789</v>
      </c>
      <c r="AO45" s="84">
        <v>32.032029151916497</v>
      </c>
      <c r="AP45" s="84">
        <v>27.409426689147949</v>
      </c>
      <c r="AQ45" s="85"/>
      <c r="AR45" s="84">
        <v>-1.0457010269165039</v>
      </c>
      <c r="AS45" s="84">
        <v>-1.7820882797241211</v>
      </c>
      <c r="AT45" s="84">
        <v>-4.5716180801391602</v>
      </c>
      <c r="AU45" s="84">
        <v>-1.5879983901977539</v>
      </c>
      <c r="AV45" s="84">
        <v>6.7889909744262704</v>
      </c>
      <c r="AW45" s="84">
        <v>5.8350639343261719</v>
      </c>
      <c r="AX45" s="84">
        <v>2.5520868301391602</v>
      </c>
      <c r="AY45" s="84">
        <v>2.6857481002807622</v>
      </c>
      <c r="AZ45" s="84">
        <v>4.6226024627685547</v>
      </c>
      <c r="BA45" s="85"/>
      <c r="BB45" s="83" t="s">
        <v>21</v>
      </c>
      <c r="BC45" s="83">
        <v>99.6</v>
      </c>
    </row>
    <row r="46" spans="1:55">
      <c r="A46" s="83" t="s">
        <v>214</v>
      </c>
      <c r="B46" s="83">
        <v>19</v>
      </c>
      <c r="C46" s="83">
        <v>19</v>
      </c>
      <c r="D46" s="83" t="s">
        <v>269</v>
      </c>
      <c r="E46" s="83" t="s">
        <v>270</v>
      </c>
      <c r="F46" s="83"/>
      <c r="G46" s="83"/>
      <c r="H46" s="83" t="s">
        <v>271</v>
      </c>
      <c r="I46" s="83" t="s">
        <v>21</v>
      </c>
      <c r="J46" s="83">
        <v>79</v>
      </c>
      <c r="K46" s="83" t="s">
        <v>22</v>
      </c>
      <c r="L46" s="83">
        <v>20201111</v>
      </c>
      <c r="M46" s="83"/>
      <c r="N46" s="83"/>
      <c r="O46" s="99">
        <f t="shared" si="0"/>
        <v>82.5</v>
      </c>
      <c r="Q46" s="83">
        <v>50.2</v>
      </c>
      <c r="R46" s="83">
        <v>1.33</v>
      </c>
      <c r="S46" s="83">
        <v>0.47</v>
      </c>
      <c r="T46" s="83">
        <v>30</v>
      </c>
      <c r="U46" s="83">
        <v>1506.1</v>
      </c>
      <c r="V46" s="83"/>
      <c r="W46" s="84">
        <v>26.985294342041019</v>
      </c>
      <c r="X46" s="84">
        <v>26.061532974243161</v>
      </c>
      <c r="Y46" s="84"/>
      <c r="Z46" s="84"/>
      <c r="AA46" s="84">
        <v>25.752110481262211</v>
      </c>
      <c r="AB46" s="84">
        <v>26.062053680419918</v>
      </c>
      <c r="AC46" s="84">
        <v>24.76209831237793</v>
      </c>
      <c r="AD46" s="84">
        <v>24.925357818603519</v>
      </c>
      <c r="AE46" s="84">
        <v>25.760476112365719</v>
      </c>
      <c r="AF46" s="84">
        <v>25.75029373168945</v>
      </c>
      <c r="AG46" s="84">
        <v>38.164972305297852</v>
      </c>
      <c r="AH46" s="84">
        <v>27.684612274169918</v>
      </c>
      <c r="AI46" s="84">
        <v>35.518531799316413</v>
      </c>
      <c r="AJ46" s="84">
        <v>26.05660438537598</v>
      </c>
      <c r="AK46" s="84">
        <v>32.709894180297852</v>
      </c>
      <c r="AL46" s="84">
        <v>26.098408699035641</v>
      </c>
      <c r="AM46" s="84">
        <v>31.964566230773929</v>
      </c>
      <c r="AN46" s="84">
        <v>26.152683258056641</v>
      </c>
      <c r="AO46" s="84">
        <v>34.02386474609375</v>
      </c>
      <c r="AP46" s="84">
        <v>26.10317230224609</v>
      </c>
      <c r="AQ46" s="85"/>
      <c r="AR46" s="84">
        <v>0.92376136779785156</v>
      </c>
      <c r="AS46" s="84">
        <v>-0.30994319915771479</v>
      </c>
      <c r="AT46" s="84">
        <v>-0.16325950622558591</v>
      </c>
      <c r="AU46" s="84">
        <v>1.018238067626953E-2</v>
      </c>
      <c r="AV46" s="84">
        <v>10.48036003112793</v>
      </c>
      <c r="AW46" s="84">
        <v>9.4619274139404297</v>
      </c>
      <c r="AX46" s="84">
        <v>6.611485481262207</v>
      </c>
      <c r="AY46" s="84">
        <v>5.8118829727172852</v>
      </c>
      <c r="AZ46" s="84">
        <v>7.9206924438476562</v>
      </c>
      <c r="BA46" s="85"/>
      <c r="BB46" s="83" t="s">
        <v>21</v>
      </c>
      <c r="BC46" s="83">
        <v>82.5</v>
      </c>
    </row>
    <row r="47" spans="1:55">
      <c r="A47" s="83" t="s">
        <v>214</v>
      </c>
      <c r="B47" s="83">
        <v>20</v>
      </c>
      <c r="C47" s="83">
        <v>20</v>
      </c>
      <c r="D47" s="83" t="s">
        <v>272</v>
      </c>
      <c r="E47" s="83" t="s">
        <v>273</v>
      </c>
      <c r="F47" s="83"/>
      <c r="G47" s="83"/>
      <c r="H47" s="83" t="s">
        <v>274</v>
      </c>
      <c r="I47" s="83" t="s">
        <v>21</v>
      </c>
      <c r="J47" s="83">
        <v>79</v>
      </c>
      <c r="K47" s="83" t="s">
        <v>22</v>
      </c>
      <c r="L47" s="83">
        <v>20201130</v>
      </c>
      <c r="M47" s="83"/>
      <c r="N47" s="83"/>
      <c r="O47" s="99">
        <f t="shared" si="0"/>
        <v>96.5</v>
      </c>
      <c r="Q47" s="83">
        <v>36.74</v>
      </c>
      <c r="R47" s="83">
        <v>1.31</v>
      </c>
      <c r="S47" s="83">
        <v>0.45</v>
      </c>
      <c r="T47" s="83">
        <v>30</v>
      </c>
      <c r="U47" s="83">
        <v>1102.3</v>
      </c>
      <c r="V47" s="83"/>
      <c r="W47" s="84">
        <v>26.43195629119873</v>
      </c>
      <c r="X47" s="84">
        <v>26.27551364898682</v>
      </c>
      <c r="Y47" s="84"/>
      <c r="Z47" s="84"/>
      <c r="AA47" s="84">
        <v>25.756049156188961</v>
      </c>
      <c r="AB47" s="84">
        <v>26.32430362701416</v>
      </c>
      <c r="AC47" s="84">
        <v>24.78669548034668</v>
      </c>
      <c r="AD47" s="84">
        <v>25.22010326385498</v>
      </c>
      <c r="AE47" s="84">
        <v>24.454558372497559</v>
      </c>
      <c r="AF47" s="84">
        <v>25.710417747497559</v>
      </c>
      <c r="AG47" s="84">
        <v>36.93830680847168</v>
      </c>
      <c r="AH47" s="84">
        <v>28.008183479309078</v>
      </c>
      <c r="AI47" s="84">
        <v>34.237541198730469</v>
      </c>
      <c r="AJ47" s="84">
        <v>26.382791519165039</v>
      </c>
      <c r="AK47" s="84">
        <v>30.440633773803711</v>
      </c>
      <c r="AL47" s="84">
        <v>26.30609035491943</v>
      </c>
      <c r="AM47" s="84">
        <v>31.224617958068851</v>
      </c>
      <c r="AN47" s="84">
        <v>26.360630035400391</v>
      </c>
      <c r="AO47" s="84">
        <v>32.392122268676758</v>
      </c>
      <c r="AP47" s="84">
        <v>26.384809494018551</v>
      </c>
      <c r="AQ47" s="85"/>
      <c r="AR47" s="84">
        <v>0.15644264221191409</v>
      </c>
      <c r="AS47" s="84">
        <v>-0.56825447082519531</v>
      </c>
      <c r="AT47" s="84">
        <v>-0.43340778350830078</v>
      </c>
      <c r="AU47" s="84">
        <v>-1.255859375</v>
      </c>
      <c r="AV47" s="84">
        <v>8.9301233291625977</v>
      </c>
      <c r="AW47" s="84">
        <v>7.8547496795654297</v>
      </c>
      <c r="AX47" s="84">
        <v>4.1345434188842773</v>
      </c>
      <c r="AY47" s="84">
        <v>4.863987922668457</v>
      </c>
      <c r="AZ47" s="84">
        <v>6.0073127746582031</v>
      </c>
      <c r="BA47" s="85"/>
      <c r="BB47" s="83" t="s">
        <v>21</v>
      </c>
      <c r="BC47" s="83">
        <v>96.5</v>
      </c>
    </row>
    <row r="48" spans="1:55">
      <c r="A48" s="83" t="s">
        <v>214</v>
      </c>
      <c r="B48" s="83">
        <v>21</v>
      </c>
      <c r="C48" s="83">
        <v>21</v>
      </c>
      <c r="D48" s="83" t="s">
        <v>275</v>
      </c>
      <c r="E48" s="83" t="s">
        <v>276</v>
      </c>
      <c r="F48" s="83"/>
      <c r="G48" s="83"/>
      <c r="H48" s="83" t="s">
        <v>277</v>
      </c>
      <c r="I48" s="83" t="s">
        <v>21</v>
      </c>
      <c r="J48" s="83">
        <v>80</v>
      </c>
      <c r="K48" s="83" t="s">
        <v>22</v>
      </c>
      <c r="L48" s="83">
        <v>20201102</v>
      </c>
      <c r="M48" s="83"/>
      <c r="N48" s="83"/>
      <c r="O48" s="99">
        <f t="shared" si="0"/>
        <v>94.4</v>
      </c>
      <c r="Q48" s="83">
        <v>46.79</v>
      </c>
      <c r="R48" s="83">
        <v>1.32</v>
      </c>
      <c r="S48" s="83">
        <v>0.46</v>
      </c>
      <c r="T48" s="83">
        <v>30</v>
      </c>
      <c r="U48" s="83">
        <v>1403.6</v>
      </c>
      <c r="V48" s="83"/>
      <c r="W48" s="84">
        <v>26.208700180053711</v>
      </c>
      <c r="X48" s="84">
        <v>25.692399024963379</v>
      </c>
      <c r="Y48" s="84"/>
      <c r="Z48" s="84"/>
      <c r="AA48" s="84">
        <v>25.601898193359379</v>
      </c>
      <c r="AB48" s="84">
        <v>25.656154632568359</v>
      </c>
      <c r="AC48" s="84">
        <v>24.524566650390621</v>
      </c>
      <c r="AD48" s="84">
        <v>24.68549633026123</v>
      </c>
      <c r="AE48" s="84">
        <v>24.924362182617191</v>
      </c>
      <c r="AF48" s="84">
        <v>25.29683876037598</v>
      </c>
      <c r="AG48" s="84">
        <v>36.978666305541992</v>
      </c>
      <c r="AH48" s="84">
        <v>27.551358222961429</v>
      </c>
      <c r="AI48" s="84">
        <v>33.749357223510742</v>
      </c>
      <c r="AJ48" s="84">
        <v>25.82374382019043</v>
      </c>
      <c r="AK48" s="84">
        <v>30.91673755645752</v>
      </c>
      <c r="AL48" s="84">
        <v>25.711677551269531</v>
      </c>
      <c r="AM48" s="84">
        <v>30.79697322845459</v>
      </c>
      <c r="AN48" s="84">
        <v>25.799346923828121</v>
      </c>
      <c r="AO48" s="84">
        <v>34.848838806152337</v>
      </c>
      <c r="AP48" s="84">
        <v>25.84620189666748</v>
      </c>
      <c r="AQ48" s="85"/>
      <c r="AR48" s="84">
        <v>0.51630115509033203</v>
      </c>
      <c r="AS48" s="84">
        <v>-5.4256439208984382E-2</v>
      </c>
      <c r="AT48" s="84">
        <v>-0.1609296798706055</v>
      </c>
      <c r="AU48" s="84">
        <v>-0.37247657775878912</v>
      </c>
      <c r="AV48" s="84">
        <v>9.4273080825805664</v>
      </c>
      <c r="AW48" s="84">
        <v>7.9256134033203116</v>
      </c>
      <c r="AX48" s="84">
        <v>5.2050600051879883</v>
      </c>
      <c r="AY48" s="84">
        <v>4.9976263046264648</v>
      </c>
      <c r="AZ48" s="84">
        <v>9.0026369094848633</v>
      </c>
      <c r="BA48" s="85"/>
      <c r="BB48" s="83" t="s">
        <v>21</v>
      </c>
      <c r="BC48" s="83">
        <v>94.4</v>
      </c>
    </row>
    <row r="49" spans="1:55">
      <c r="A49" s="83" t="s">
        <v>214</v>
      </c>
      <c r="B49" s="83">
        <v>22</v>
      </c>
      <c r="C49" s="83">
        <v>22</v>
      </c>
      <c r="D49" s="83" t="s">
        <v>278</v>
      </c>
      <c r="E49" s="83" t="s">
        <v>279</v>
      </c>
      <c r="F49" s="83"/>
      <c r="G49" s="83"/>
      <c r="H49" s="83" t="s">
        <v>280</v>
      </c>
      <c r="I49" s="83" t="s">
        <v>21</v>
      </c>
      <c r="J49" s="83">
        <v>81</v>
      </c>
      <c r="K49" s="83" t="s">
        <v>22</v>
      </c>
      <c r="L49" s="83">
        <v>20200417</v>
      </c>
      <c r="M49" s="83"/>
      <c r="N49" s="83"/>
      <c r="O49" s="99">
        <f t="shared" si="0"/>
        <v>98.2</v>
      </c>
      <c r="Q49" s="83">
        <v>28.54</v>
      </c>
      <c r="R49" s="83">
        <v>1.3</v>
      </c>
      <c r="S49" s="83">
        <v>0.44</v>
      </c>
      <c r="T49" s="83">
        <v>30</v>
      </c>
      <c r="U49" s="83">
        <v>856.2</v>
      </c>
      <c r="V49" s="83"/>
      <c r="W49" s="84">
        <v>24.707327842712399</v>
      </c>
      <c r="X49" s="84">
        <v>25.936121940612789</v>
      </c>
      <c r="Y49" s="84"/>
      <c r="Z49" s="84"/>
      <c r="AA49" s="84">
        <v>24.04578876495361</v>
      </c>
      <c r="AB49" s="84">
        <v>25.908615112304691</v>
      </c>
      <c r="AC49" s="84">
        <v>25.159687995910641</v>
      </c>
      <c r="AD49" s="84">
        <v>25.10069465637207</v>
      </c>
      <c r="AE49" s="84">
        <v>24.64109897613525</v>
      </c>
      <c r="AF49" s="84">
        <v>25.602199554443359</v>
      </c>
      <c r="AG49" s="84">
        <v>35.982397079467773</v>
      </c>
      <c r="AH49" s="84">
        <v>27.943819999694821</v>
      </c>
      <c r="AI49" s="84">
        <v>31.385869979858398</v>
      </c>
      <c r="AJ49" s="84">
        <v>26.13673114776611</v>
      </c>
      <c r="AK49" s="84">
        <v>30.47813510894775</v>
      </c>
      <c r="AL49" s="84">
        <v>26.054805755615231</v>
      </c>
      <c r="AM49" s="84">
        <v>27.67246150970459</v>
      </c>
      <c r="AN49" s="84">
        <v>25.78764820098877</v>
      </c>
      <c r="AO49" s="84">
        <v>32.210699081420898</v>
      </c>
      <c r="AP49" s="84">
        <v>26.038908004760739</v>
      </c>
      <c r="AQ49" s="85"/>
      <c r="AR49" s="84">
        <v>-1.2287940979003911</v>
      </c>
      <c r="AS49" s="84">
        <v>-1.862826347351074</v>
      </c>
      <c r="AT49" s="84">
        <v>5.8993339538574219E-2</v>
      </c>
      <c r="AU49" s="84">
        <v>-0.96110057830810547</v>
      </c>
      <c r="AV49" s="84">
        <v>8.0385770797729492</v>
      </c>
      <c r="AW49" s="84">
        <v>5.2491388320922852</v>
      </c>
      <c r="AX49" s="84">
        <v>4.4233293533325204</v>
      </c>
      <c r="AY49" s="84">
        <v>1.8848133087158201</v>
      </c>
      <c r="AZ49" s="84">
        <v>6.1717910766601562</v>
      </c>
      <c r="BA49" s="85"/>
      <c r="BB49" s="83" t="s">
        <v>21</v>
      </c>
      <c r="BC49" s="83">
        <v>98.2</v>
      </c>
    </row>
    <row r="50" spans="1:55">
      <c r="A50" s="83" t="s">
        <v>214</v>
      </c>
      <c r="B50" s="83">
        <v>23</v>
      </c>
      <c r="C50" s="83">
        <v>23</v>
      </c>
      <c r="D50" s="83" t="s">
        <v>281</v>
      </c>
      <c r="E50" s="83" t="s">
        <v>282</v>
      </c>
      <c r="F50" s="83"/>
      <c r="G50" s="83"/>
      <c r="H50" s="83" t="s">
        <v>283</v>
      </c>
      <c r="I50" s="83" t="s">
        <v>21</v>
      </c>
      <c r="J50" s="83">
        <v>81</v>
      </c>
      <c r="K50" s="83" t="s">
        <v>22</v>
      </c>
      <c r="L50" s="83">
        <v>20200907</v>
      </c>
      <c r="M50" s="83"/>
      <c r="N50" s="83"/>
      <c r="O50" s="99">
        <f t="shared" si="0"/>
        <v>94</v>
      </c>
      <c r="Q50" s="83">
        <v>48.39</v>
      </c>
      <c r="R50" s="83">
        <v>1.33</v>
      </c>
      <c r="S50" s="83">
        <v>0.45</v>
      </c>
      <c r="T50" s="83">
        <v>30</v>
      </c>
      <c r="U50" s="83">
        <v>1451.8</v>
      </c>
      <c r="V50" s="83"/>
      <c r="W50" s="84">
        <v>26.270416259765621</v>
      </c>
      <c r="X50" s="84">
        <v>26.162481307983398</v>
      </c>
      <c r="Y50" s="84"/>
      <c r="Z50" s="84"/>
      <c r="AA50" s="84">
        <v>25.64360332489014</v>
      </c>
      <c r="AB50" s="84">
        <v>26.145340919494629</v>
      </c>
      <c r="AC50" s="84">
        <v>25.933194160461429</v>
      </c>
      <c r="AD50" s="84">
        <v>25.325448989868161</v>
      </c>
      <c r="AE50" s="84">
        <v>24.958253860473629</v>
      </c>
      <c r="AF50" s="84">
        <v>25.804950714111332</v>
      </c>
      <c r="AG50" s="84">
        <v>37.492433547973633</v>
      </c>
      <c r="AH50" s="84">
        <v>28.10106086730957</v>
      </c>
      <c r="AI50" s="84">
        <v>34.210533142089837</v>
      </c>
      <c r="AJ50" s="84">
        <v>26.469904899597172</v>
      </c>
      <c r="AK50" s="84">
        <v>31.440203666687012</v>
      </c>
      <c r="AL50" s="84">
        <v>26.299251556396481</v>
      </c>
      <c r="AM50" s="84">
        <v>30.88267993927002</v>
      </c>
      <c r="AN50" s="84">
        <v>26.22258281707764</v>
      </c>
      <c r="AO50" s="84">
        <v>34.122598648071289</v>
      </c>
      <c r="AP50" s="84">
        <v>26.251979827880859</v>
      </c>
      <c r="AQ50" s="85"/>
      <c r="AR50" s="84">
        <v>0.1079349517822266</v>
      </c>
      <c r="AS50" s="84">
        <v>-0.50173759460449219</v>
      </c>
      <c r="AT50" s="84">
        <v>0.60774517059326172</v>
      </c>
      <c r="AU50" s="84">
        <v>-0.84669685363769531</v>
      </c>
      <c r="AV50" s="84">
        <v>9.3913726806640625</v>
      </c>
      <c r="AW50" s="84">
        <v>7.7406282424926758</v>
      </c>
      <c r="AX50" s="84">
        <v>5.1409521102905273</v>
      </c>
      <c r="AY50" s="84">
        <v>4.6600971221923828</v>
      </c>
      <c r="AZ50" s="84">
        <v>7.8706188201904297</v>
      </c>
      <c r="BA50" s="85"/>
      <c r="BB50" s="83" t="s">
        <v>21</v>
      </c>
      <c r="BC50" s="83">
        <v>94</v>
      </c>
    </row>
    <row r="51" spans="1:55">
      <c r="A51" s="83" t="s">
        <v>214</v>
      </c>
      <c r="B51" s="83">
        <v>24</v>
      </c>
      <c r="C51" s="83">
        <v>24</v>
      </c>
      <c r="D51" s="83" t="s">
        <v>284</v>
      </c>
      <c r="E51" s="83" t="s">
        <v>285</v>
      </c>
      <c r="F51" s="83"/>
      <c r="G51" s="83"/>
      <c r="H51" s="83" t="s">
        <v>286</v>
      </c>
      <c r="I51" s="83" t="s">
        <v>21</v>
      </c>
      <c r="J51" s="83">
        <v>82</v>
      </c>
      <c r="K51" s="83" t="s">
        <v>22</v>
      </c>
      <c r="L51" s="83">
        <v>20201028</v>
      </c>
      <c r="M51" s="83"/>
      <c r="N51" s="83"/>
      <c r="O51" s="99">
        <f t="shared" si="0"/>
        <v>95.4</v>
      </c>
      <c r="Q51" s="83">
        <v>25.19</v>
      </c>
      <c r="R51" s="83">
        <v>1.29</v>
      </c>
      <c r="S51" s="83">
        <v>0.43</v>
      </c>
      <c r="T51" s="83">
        <v>30</v>
      </c>
      <c r="U51" s="83">
        <v>755.6</v>
      </c>
      <c r="V51" s="83"/>
      <c r="W51" s="84">
        <v>27.371695518493649</v>
      </c>
      <c r="X51" s="84">
        <v>26.418791770935059</v>
      </c>
      <c r="Y51" s="84"/>
      <c r="Z51" s="84"/>
      <c r="AA51" s="84">
        <v>26.415508270263668</v>
      </c>
      <c r="AB51" s="84">
        <v>26.383939743041989</v>
      </c>
      <c r="AC51" s="84">
        <v>25.75468826293945</v>
      </c>
      <c r="AD51" s="84">
        <v>25.41229343414307</v>
      </c>
      <c r="AE51" s="84">
        <v>24.483501434326168</v>
      </c>
      <c r="AF51" s="84">
        <v>25.85853099822998</v>
      </c>
      <c r="AG51" s="84">
        <v>36.732698440551758</v>
      </c>
      <c r="AH51" s="84">
        <v>28.265158653259281</v>
      </c>
      <c r="AI51" s="84">
        <v>35.258420944213867</v>
      </c>
      <c r="AJ51" s="84">
        <v>26.532026290893551</v>
      </c>
      <c r="AK51" s="84">
        <v>31.255364418029789</v>
      </c>
      <c r="AL51" s="84">
        <v>26.372133255004879</v>
      </c>
      <c r="AM51" s="84">
        <v>32.115718841552727</v>
      </c>
      <c r="AN51" s="84">
        <v>26.540383338928219</v>
      </c>
      <c r="AO51" s="84">
        <v>34.559726715087891</v>
      </c>
      <c r="AP51" s="84">
        <v>26.40933895111084</v>
      </c>
      <c r="AQ51" s="85"/>
      <c r="AR51" s="84">
        <v>0.95290374755859375</v>
      </c>
      <c r="AS51" s="84">
        <v>3.1568527221679688E-2</v>
      </c>
      <c r="AT51" s="84">
        <v>0.34239482879638672</v>
      </c>
      <c r="AU51" s="84">
        <v>-1.375029563903809</v>
      </c>
      <c r="AV51" s="84">
        <v>8.4675397872924805</v>
      </c>
      <c r="AW51" s="84">
        <v>8.7263946533203125</v>
      </c>
      <c r="AX51" s="84">
        <v>4.8832311630249023</v>
      </c>
      <c r="AY51" s="84">
        <v>5.5753355026245117</v>
      </c>
      <c r="AZ51" s="84">
        <v>8.1503877639770508</v>
      </c>
      <c r="BA51" s="85"/>
      <c r="BB51" s="83" t="s">
        <v>21</v>
      </c>
      <c r="BC51" s="83">
        <v>95.4</v>
      </c>
    </row>
    <row r="52" spans="1:55">
      <c r="A52" s="83" t="s">
        <v>214</v>
      </c>
      <c r="B52" s="83">
        <v>25</v>
      </c>
      <c r="C52" s="83">
        <v>25</v>
      </c>
      <c r="D52" s="83" t="s">
        <v>287</v>
      </c>
      <c r="E52" s="83" t="s">
        <v>288</v>
      </c>
      <c r="F52" s="83"/>
      <c r="G52" s="83"/>
      <c r="H52" s="83" t="s">
        <v>289</v>
      </c>
      <c r="I52" s="83" t="s">
        <v>21</v>
      </c>
      <c r="J52" s="83">
        <v>83</v>
      </c>
      <c r="K52" s="83" t="s">
        <v>22</v>
      </c>
      <c r="L52" s="83">
        <v>20200909</v>
      </c>
      <c r="M52" s="83"/>
      <c r="N52" s="83"/>
      <c r="O52" s="99">
        <f t="shared" si="0"/>
        <v>99.1</v>
      </c>
      <c r="Q52" s="83">
        <v>52.73</v>
      </c>
      <c r="R52" s="83">
        <v>1.37</v>
      </c>
      <c r="S52" s="83">
        <v>0.47</v>
      </c>
      <c r="T52" s="83">
        <v>30</v>
      </c>
      <c r="U52" s="83">
        <v>1582</v>
      </c>
      <c r="V52" s="83"/>
      <c r="W52" s="84">
        <v>26.12809944152832</v>
      </c>
      <c r="X52" s="84">
        <v>26.962908744812012</v>
      </c>
      <c r="Y52" s="84"/>
      <c r="Z52" s="84"/>
      <c r="AA52" s="84">
        <v>25.418143272399899</v>
      </c>
      <c r="AB52" s="84">
        <v>26.962986946105961</v>
      </c>
      <c r="AC52" s="84">
        <v>25.294829368591309</v>
      </c>
      <c r="AD52" s="84">
        <v>26.06706523895264</v>
      </c>
      <c r="AE52" s="84">
        <v>24.692415237426761</v>
      </c>
      <c r="AF52" s="84">
        <v>26.4483757019043</v>
      </c>
      <c r="AG52" s="84">
        <v>35.625682830810547</v>
      </c>
      <c r="AH52" s="84">
        <v>29.021658897399899</v>
      </c>
      <c r="AI52" s="84">
        <v>32.889713287353523</v>
      </c>
      <c r="AJ52" s="84">
        <v>27.12675666809082</v>
      </c>
      <c r="AK52" s="84">
        <v>30.720907211303711</v>
      </c>
      <c r="AL52" s="84">
        <v>27.046176910400391</v>
      </c>
      <c r="AM52" s="84">
        <v>29.905985832214359</v>
      </c>
      <c r="AN52" s="84">
        <v>26.903800010681149</v>
      </c>
      <c r="AO52" s="84">
        <v>32.941898345947273</v>
      </c>
      <c r="AP52" s="84">
        <v>27.23673152923584</v>
      </c>
      <c r="AQ52" s="85"/>
      <c r="AR52" s="84">
        <v>-0.83480930328369141</v>
      </c>
      <c r="AS52" s="84">
        <v>-1.5448436737060549</v>
      </c>
      <c r="AT52" s="84">
        <v>-0.77223587036132812</v>
      </c>
      <c r="AU52" s="84">
        <v>-1.7559604644775391</v>
      </c>
      <c r="AV52" s="84">
        <v>6.6040239334106454</v>
      </c>
      <c r="AW52" s="84">
        <v>5.7629566192626953</v>
      </c>
      <c r="AX52" s="84">
        <v>3.6747303009033199</v>
      </c>
      <c r="AY52" s="84">
        <v>3.0021858215332031</v>
      </c>
      <c r="AZ52" s="84">
        <v>5.7051668167114258</v>
      </c>
      <c r="BA52" s="85"/>
      <c r="BB52" s="83" t="s">
        <v>21</v>
      </c>
      <c r="BC52" s="83">
        <v>99.1</v>
      </c>
    </row>
    <row r="53" spans="1:55">
      <c r="A53" s="83" t="s">
        <v>214</v>
      </c>
      <c r="B53" s="83">
        <v>26</v>
      </c>
      <c r="C53" s="83">
        <v>26</v>
      </c>
      <c r="D53" s="83" t="s">
        <v>290</v>
      </c>
      <c r="E53" s="83" t="s">
        <v>291</v>
      </c>
      <c r="F53" s="83"/>
      <c r="G53" s="83"/>
      <c r="H53" s="83" t="s">
        <v>292</v>
      </c>
      <c r="I53" s="83" t="s">
        <v>21</v>
      </c>
      <c r="J53" s="83">
        <v>83</v>
      </c>
      <c r="K53" s="83" t="s">
        <v>22</v>
      </c>
      <c r="L53" s="83">
        <v>20210111</v>
      </c>
      <c r="M53" s="83"/>
      <c r="N53" s="83"/>
      <c r="O53" s="99">
        <f t="shared" si="0"/>
        <v>97.1</v>
      </c>
      <c r="Q53" s="83">
        <v>54.93</v>
      </c>
      <c r="R53" s="83">
        <v>1.35</v>
      </c>
      <c r="S53" s="83">
        <v>0.47</v>
      </c>
      <c r="T53" s="83">
        <v>30</v>
      </c>
      <c r="U53" s="83">
        <v>1647.8</v>
      </c>
      <c r="V53" s="83"/>
      <c r="W53" s="84">
        <v>27.138741493225101</v>
      </c>
      <c r="X53" s="84">
        <v>26.3056173324585</v>
      </c>
      <c r="Y53" s="84"/>
      <c r="Z53" s="84"/>
      <c r="AA53" s="84">
        <v>25.722087860107418</v>
      </c>
      <c r="AB53" s="84">
        <v>26.1602783203125</v>
      </c>
      <c r="AC53" s="84">
        <v>23.376090049743649</v>
      </c>
      <c r="AD53" s="84">
        <v>25.096908569335941</v>
      </c>
      <c r="AE53" s="84">
        <v>24.69061279296875</v>
      </c>
      <c r="AF53" s="84">
        <v>25.63641262054443</v>
      </c>
      <c r="AG53" s="84">
        <v>38.343072891235352</v>
      </c>
      <c r="AH53" s="84">
        <v>28.195376396179199</v>
      </c>
      <c r="AI53" s="84">
        <v>35.834821701049798</v>
      </c>
      <c r="AJ53" s="84">
        <v>26.278775215148929</v>
      </c>
      <c r="AK53" s="84">
        <v>30.161924362182621</v>
      </c>
      <c r="AL53" s="84">
        <v>26.26247406005859</v>
      </c>
      <c r="AM53" s="84">
        <v>32.218549728393548</v>
      </c>
      <c r="AN53" s="84">
        <v>26.37064170837402</v>
      </c>
      <c r="AO53" s="84">
        <v>34.365879058837891</v>
      </c>
      <c r="AP53" s="84">
        <v>26.33084774017334</v>
      </c>
      <c r="AQ53" s="85"/>
      <c r="AR53" s="84">
        <v>0.83312416076660156</v>
      </c>
      <c r="AS53" s="84">
        <v>-0.43819046020507812</v>
      </c>
      <c r="AT53" s="84">
        <v>-1.7208185195922849</v>
      </c>
      <c r="AU53" s="84">
        <v>-0.94579982757568359</v>
      </c>
      <c r="AV53" s="84">
        <v>10.147696495056151</v>
      </c>
      <c r="AW53" s="84">
        <v>9.5560464859008789</v>
      </c>
      <c r="AX53" s="84">
        <v>3.899450302124023</v>
      </c>
      <c r="AY53" s="84">
        <v>5.8479080200195312</v>
      </c>
      <c r="AZ53" s="84">
        <v>8.0350313186645508</v>
      </c>
      <c r="BA53" s="85"/>
      <c r="BB53" s="83" t="s">
        <v>21</v>
      </c>
      <c r="BC53" s="83">
        <v>97.1</v>
      </c>
    </row>
    <row r="54" spans="1:55">
      <c r="A54" s="83" t="s">
        <v>214</v>
      </c>
      <c r="B54" s="83">
        <v>27</v>
      </c>
      <c r="C54" s="83">
        <v>27</v>
      </c>
      <c r="D54" s="83" t="s">
        <v>293</v>
      </c>
      <c r="E54" s="83" t="s">
        <v>294</v>
      </c>
      <c r="F54" s="83"/>
      <c r="G54" s="83"/>
      <c r="H54" s="83" t="s">
        <v>295</v>
      </c>
      <c r="I54" s="83" t="s">
        <v>21</v>
      </c>
      <c r="J54" s="83">
        <v>84</v>
      </c>
      <c r="K54" s="83" t="s">
        <v>22</v>
      </c>
      <c r="L54" s="83">
        <v>20191024</v>
      </c>
      <c r="M54" s="83"/>
      <c r="N54" s="83"/>
      <c r="O54" s="99">
        <f t="shared" si="0"/>
        <v>84.8</v>
      </c>
      <c r="Q54" s="83">
        <v>27.98</v>
      </c>
      <c r="R54" s="83">
        <v>1.3</v>
      </c>
      <c r="S54" s="83">
        <v>0.43</v>
      </c>
      <c r="T54" s="83">
        <v>30</v>
      </c>
      <c r="U54" s="83">
        <v>839.5</v>
      </c>
      <c r="V54" s="83"/>
      <c r="W54" s="84">
        <v>29.376679420471191</v>
      </c>
      <c r="X54" s="84">
        <v>26.31940937042236</v>
      </c>
      <c r="Y54" s="84"/>
      <c r="Z54" s="84"/>
      <c r="AA54" s="84">
        <v>26.756777763366699</v>
      </c>
      <c r="AB54" s="84">
        <v>26.28272724151611</v>
      </c>
      <c r="AC54" s="84">
        <v>25.129605293273929</v>
      </c>
      <c r="AD54" s="84">
        <v>25.291618347167969</v>
      </c>
      <c r="AE54" s="84">
        <v>25.79485988616943</v>
      </c>
      <c r="AF54" s="84">
        <v>25.90962982177734</v>
      </c>
      <c r="AG54" s="84">
        <v>40</v>
      </c>
      <c r="AH54" s="84">
        <v>28.220803260803219</v>
      </c>
      <c r="AI54" s="84">
        <v>39.1671142578125</v>
      </c>
      <c r="AJ54" s="84">
        <v>26.587909698486332</v>
      </c>
      <c r="AK54" s="84">
        <v>32.23621940612793</v>
      </c>
      <c r="AL54" s="84">
        <v>26.374734878540039</v>
      </c>
      <c r="AM54" s="84">
        <v>34.476358413696289</v>
      </c>
      <c r="AN54" s="84">
        <v>26.581405639648441</v>
      </c>
      <c r="AO54" s="84">
        <v>36.491004943847663</v>
      </c>
      <c r="AP54" s="84">
        <v>26.402435302734379</v>
      </c>
      <c r="AQ54" s="85"/>
      <c r="AR54" s="84">
        <v>3.0572700500488281</v>
      </c>
      <c r="AS54" s="84">
        <v>0.47405052185058588</v>
      </c>
      <c r="AT54" s="84">
        <v>-0.162013053894043</v>
      </c>
      <c r="AU54" s="84">
        <v>-0.1147699356079102</v>
      </c>
      <c r="AV54" s="84">
        <v>11.779196739196779</v>
      </c>
      <c r="AW54" s="84">
        <v>12.57920455932617</v>
      </c>
      <c r="AX54" s="84">
        <v>5.8614845275878906</v>
      </c>
      <c r="AY54" s="84">
        <v>7.8949527740478516</v>
      </c>
      <c r="AZ54" s="84">
        <v>10.088569641113279</v>
      </c>
      <c r="BA54" s="85"/>
      <c r="BB54" s="83" t="s">
        <v>21</v>
      </c>
      <c r="BC54" s="83">
        <v>84.8</v>
      </c>
    </row>
    <row r="55" spans="1:55">
      <c r="A55" s="83" t="s">
        <v>214</v>
      </c>
      <c r="B55" s="83">
        <v>28</v>
      </c>
      <c r="C55" s="83">
        <v>28</v>
      </c>
      <c r="D55" s="83" t="s">
        <v>296</v>
      </c>
      <c r="E55" s="83" t="s">
        <v>297</v>
      </c>
      <c r="F55" s="83"/>
      <c r="G55" s="83"/>
      <c r="H55" s="83" t="s">
        <v>298</v>
      </c>
      <c r="I55" s="83" t="s">
        <v>21</v>
      </c>
      <c r="J55" s="83">
        <v>84</v>
      </c>
      <c r="K55" s="83" t="s">
        <v>22</v>
      </c>
      <c r="L55" s="83">
        <v>20201104</v>
      </c>
      <c r="M55" s="83"/>
      <c r="N55" s="83"/>
      <c r="O55" s="99">
        <f t="shared" si="0"/>
        <v>90.7</v>
      </c>
      <c r="Q55" s="83">
        <v>46.69</v>
      </c>
      <c r="R55" s="83">
        <v>1.35</v>
      </c>
      <c r="S55" s="83">
        <v>0.47</v>
      </c>
      <c r="T55" s="83">
        <v>30</v>
      </c>
      <c r="U55" s="83">
        <v>1400.7</v>
      </c>
      <c r="V55" s="83"/>
      <c r="W55" s="84">
        <v>25.949223518371578</v>
      </c>
      <c r="X55" s="84">
        <v>25.58079719543457</v>
      </c>
      <c r="Y55" s="84"/>
      <c r="Z55" s="84"/>
      <c r="AA55" s="84">
        <v>24.74745082855225</v>
      </c>
      <c r="AB55" s="84">
        <v>25.505184173583981</v>
      </c>
      <c r="AC55" s="84">
        <v>23.36838436126709</v>
      </c>
      <c r="AD55" s="84">
        <v>24.468635559082031</v>
      </c>
      <c r="AE55" s="84">
        <v>26.312516212463379</v>
      </c>
      <c r="AF55" s="84">
        <v>25.363142967224121</v>
      </c>
      <c r="AG55" s="84">
        <v>37.682859420776367</v>
      </c>
      <c r="AH55" s="84">
        <v>27.44942474365234</v>
      </c>
      <c r="AI55" s="84">
        <v>35.397262573242188</v>
      </c>
      <c r="AJ55" s="84">
        <v>25.725214004516602</v>
      </c>
      <c r="AK55" s="84">
        <v>32.031824111938477</v>
      </c>
      <c r="AL55" s="84">
        <v>25.744060516357418</v>
      </c>
      <c r="AM55" s="84">
        <v>31.154293060302731</v>
      </c>
      <c r="AN55" s="84">
        <v>25.70745754241943</v>
      </c>
      <c r="AO55" s="84">
        <v>33.197694778442383</v>
      </c>
      <c r="AP55" s="84">
        <v>25.573418617248539</v>
      </c>
      <c r="AQ55" s="85"/>
      <c r="AR55" s="84">
        <v>0.36842632293701172</v>
      </c>
      <c r="AS55" s="84">
        <v>-0.75773334503173828</v>
      </c>
      <c r="AT55" s="84">
        <v>-1.100251197814941</v>
      </c>
      <c r="AU55" s="84">
        <v>0.94937324523925781</v>
      </c>
      <c r="AV55" s="84">
        <v>10.23343467712402</v>
      </c>
      <c r="AW55" s="84">
        <v>9.6720485687255859</v>
      </c>
      <c r="AX55" s="84">
        <v>6.2877635955810547</v>
      </c>
      <c r="AY55" s="84">
        <v>5.4468355178833008</v>
      </c>
      <c r="AZ55" s="84">
        <v>7.6242761611938477</v>
      </c>
      <c r="BA55" s="85"/>
      <c r="BB55" s="83" t="s">
        <v>21</v>
      </c>
      <c r="BC55" s="83">
        <v>90.7</v>
      </c>
    </row>
    <row r="56" spans="1:55">
      <c r="A56" s="83" t="s">
        <v>214</v>
      </c>
      <c r="B56" s="83">
        <v>29</v>
      </c>
      <c r="C56" s="83">
        <v>29</v>
      </c>
      <c r="D56" s="83" t="s">
        <v>299</v>
      </c>
      <c r="E56" s="83" t="s">
        <v>300</v>
      </c>
      <c r="F56" s="83"/>
      <c r="G56" s="83"/>
      <c r="H56" s="83" t="s">
        <v>301</v>
      </c>
      <c r="I56" s="83" t="s">
        <v>21</v>
      </c>
      <c r="J56" s="83">
        <v>85</v>
      </c>
      <c r="K56" s="83" t="s">
        <v>22</v>
      </c>
      <c r="L56" s="83">
        <v>20201130</v>
      </c>
      <c r="M56" s="83"/>
      <c r="N56" s="83"/>
      <c r="O56" s="99">
        <f t="shared" si="0"/>
        <v>95.2</v>
      </c>
      <c r="Q56" s="83">
        <v>40.64</v>
      </c>
      <c r="R56" s="83">
        <v>1.33</v>
      </c>
      <c r="S56" s="83">
        <v>0.46</v>
      </c>
      <c r="T56" s="83">
        <v>30</v>
      </c>
      <c r="U56" s="83">
        <v>1219.2</v>
      </c>
      <c r="V56" s="83"/>
      <c r="W56" s="84">
        <v>27.796683311462399</v>
      </c>
      <c r="X56" s="84">
        <v>27.48058032989502</v>
      </c>
      <c r="Y56" s="84"/>
      <c r="Z56" s="84"/>
      <c r="AA56" s="84">
        <v>26.50566482543945</v>
      </c>
      <c r="AB56" s="84">
        <v>27.432094573974609</v>
      </c>
      <c r="AC56" s="84">
        <v>26.6041374206543</v>
      </c>
      <c r="AD56" s="84">
        <v>26.438481330871578</v>
      </c>
      <c r="AE56" s="84">
        <v>25.711733818054199</v>
      </c>
      <c r="AF56" s="84">
        <v>26.947299957275391</v>
      </c>
      <c r="AG56" s="84">
        <v>39.254856109619141</v>
      </c>
      <c r="AH56" s="84">
        <v>29.347429275512699</v>
      </c>
      <c r="AI56" s="84">
        <v>38.378025054931641</v>
      </c>
      <c r="AJ56" s="84">
        <v>27.61690711975098</v>
      </c>
      <c r="AK56" s="84">
        <v>32.433622360229492</v>
      </c>
      <c r="AL56" s="84">
        <v>27.526005744934078</v>
      </c>
      <c r="AM56" s="84">
        <v>32.875356674194343</v>
      </c>
      <c r="AN56" s="84">
        <v>27.619265556335449</v>
      </c>
      <c r="AO56" s="84">
        <v>35.132743835449219</v>
      </c>
      <c r="AP56" s="84">
        <v>27.584223747253422</v>
      </c>
      <c r="AQ56" s="85"/>
      <c r="AR56" s="84">
        <v>0.31610298156738281</v>
      </c>
      <c r="AS56" s="84">
        <v>-0.92642974853515625</v>
      </c>
      <c r="AT56" s="84">
        <v>0.16565608978271479</v>
      </c>
      <c r="AU56" s="84">
        <v>-1.235566139221191</v>
      </c>
      <c r="AV56" s="84">
        <v>9.9074268341064453</v>
      </c>
      <c r="AW56" s="84">
        <v>10.761117935180661</v>
      </c>
      <c r="AX56" s="84">
        <v>4.9076166152954102</v>
      </c>
      <c r="AY56" s="84">
        <v>5.2560911178588867</v>
      </c>
      <c r="AZ56" s="84">
        <v>7.5485200881958008</v>
      </c>
      <c r="BA56" s="85"/>
      <c r="BB56" s="83" t="s">
        <v>21</v>
      </c>
      <c r="BC56" s="83">
        <v>95.2</v>
      </c>
    </row>
    <row r="57" spans="1:55">
      <c r="A57" s="83" t="s">
        <v>214</v>
      </c>
      <c r="B57" s="83">
        <v>30</v>
      </c>
      <c r="C57" s="83">
        <v>30</v>
      </c>
      <c r="D57" s="83" t="s">
        <v>302</v>
      </c>
      <c r="E57" s="83" t="s">
        <v>303</v>
      </c>
      <c r="F57" s="83"/>
      <c r="G57" s="83"/>
      <c r="H57" s="83" t="s">
        <v>304</v>
      </c>
      <c r="I57" s="83" t="s">
        <v>21</v>
      </c>
      <c r="J57" s="83">
        <v>85</v>
      </c>
      <c r="K57" s="83" t="s">
        <v>22</v>
      </c>
      <c r="L57" s="83">
        <v>20190918</v>
      </c>
      <c r="M57" s="83"/>
      <c r="N57" s="83"/>
      <c r="O57" s="99">
        <f t="shared" si="0"/>
        <v>86.2</v>
      </c>
      <c r="Q57" s="83">
        <v>36.93</v>
      </c>
      <c r="R57" s="83">
        <v>1.32</v>
      </c>
      <c r="S57" s="83">
        <v>0.45</v>
      </c>
      <c r="T57" s="83">
        <v>30</v>
      </c>
      <c r="U57" s="83">
        <v>1107.8</v>
      </c>
      <c r="V57" s="83"/>
      <c r="W57" s="84">
        <v>29.899239540100101</v>
      </c>
      <c r="X57" s="84">
        <v>26.782748222351071</v>
      </c>
      <c r="Y57" s="84"/>
      <c r="Z57" s="84"/>
      <c r="AA57" s="84">
        <v>27.27164363861084</v>
      </c>
      <c r="AB57" s="84">
        <v>26.70714282989502</v>
      </c>
      <c r="AC57" s="84">
        <v>23.99302959442139</v>
      </c>
      <c r="AD57" s="84">
        <v>25.525618553161621</v>
      </c>
      <c r="AE57" s="84">
        <v>25.8553352355957</v>
      </c>
      <c r="AF57" s="84">
        <v>26.19477462768555</v>
      </c>
      <c r="AG57" s="84">
        <v>40</v>
      </c>
      <c r="AH57" s="84">
        <v>28.533699989318851</v>
      </c>
      <c r="AI57" s="84">
        <v>39.403221130371087</v>
      </c>
      <c r="AJ57" s="84">
        <v>26.696857452392582</v>
      </c>
      <c r="AK57" s="84">
        <v>32.553316116333008</v>
      </c>
      <c r="AL57" s="84">
        <v>26.676873207092289</v>
      </c>
      <c r="AM57" s="84">
        <v>34.963918685913093</v>
      </c>
      <c r="AN57" s="84">
        <v>26.77793979644775</v>
      </c>
      <c r="AO57" s="84">
        <v>36.979085922241211</v>
      </c>
      <c r="AP57" s="84">
        <v>26.869993209838871</v>
      </c>
      <c r="AQ57" s="85"/>
      <c r="AR57" s="84">
        <v>3.116491317749023</v>
      </c>
      <c r="AS57" s="84">
        <v>0.56450080871582031</v>
      </c>
      <c r="AT57" s="84">
        <v>-1.5325889587402339</v>
      </c>
      <c r="AU57" s="84">
        <v>-0.33943939208984381</v>
      </c>
      <c r="AV57" s="84">
        <v>11.466300010681151</v>
      </c>
      <c r="AW57" s="84">
        <v>12.706363677978519</v>
      </c>
      <c r="AX57" s="84">
        <v>5.8764429092407227</v>
      </c>
      <c r="AY57" s="84">
        <v>8.185978889465332</v>
      </c>
      <c r="AZ57" s="84">
        <v>10.10909271240234</v>
      </c>
      <c r="BA57" s="85"/>
      <c r="BB57" s="83" t="s">
        <v>21</v>
      </c>
      <c r="BC57" s="83">
        <v>86.2</v>
      </c>
    </row>
    <row r="58" spans="1:55">
      <c r="A58" s="83" t="s">
        <v>214</v>
      </c>
      <c r="B58" s="83">
        <v>31</v>
      </c>
      <c r="C58" s="83">
        <v>31</v>
      </c>
      <c r="D58" s="83" t="s">
        <v>305</v>
      </c>
      <c r="E58" s="83" t="s">
        <v>306</v>
      </c>
      <c r="F58" s="83"/>
      <c r="G58" s="83"/>
      <c r="H58" s="83" t="s">
        <v>307</v>
      </c>
      <c r="I58" s="83" t="s">
        <v>21</v>
      </c>
      <c r="J58" s="83">
        <v>85</v>
      </c>
      <c r="K58" s="83" t="s">
        <v>22</v>
      </c>
      <c r="L58" s="83">
        <v>20201125</v>
      </c>
      <c r="M58" s="83"/>
      <c r="N58" s="83"/>
      <c r="O58" s="99">
        <f t="shared" si="0"/>
        <v>92</v>
      </c>
      <c r="Q58" s="83">
        <v>40.39</v>
      </c>
      <c r="R58" s="83">
        <v>1.34</v>
      </c>
      <c r="S58" s="83">
        <v>0.46</v>
      </c>
      <c r="T58" s="83">
        <v>30</v>
      </c>
      <c r="U58" s="83">
        <v>1211.7</v>
      </c>
      <c r="V58" s="83"/>
      <c r="W58" s="84">
        <v>30.630071640014648</v>
      </c>
      <c r="X58" s="84">
        <v>26.353775024414059</v>
      </c>
      <c r="Y58" s="84"/>
      <c r="Z58" s="84"/>
      <c r="AA58" s="84">
        <v>26.8060188293457</v>
      </c>
      <c r="AB58" s="84">
        <v>26.21989631652832</v>
      </c>
      <c r="AC58" s="84">
        <v>25.92220401763916</v>
      </c>
      <c r="AD58" s="84">
        <v>25.33963584899902</v>
      </c>
      <c r="AE58" s="84">
        <v>25.38934421539307</v>
      </c>
      <c r="AF58" s="84">
        <v>25.744035720825199</v>
      </c>
      <c r="AG58" s="84">
        <v>39.022518157958977</v>
      </c>
      <c r="AH58" s="84">
        <v>28.1081075668335</v>
      </c>
      <c r="AI58" s="84">
        <v>39.341266632080078</v>
      </c>
      <c r="AJ58" s="84">
        <v>26.308089256286621</v>
      </c>
      <c r="AK58" s="84">
        <v>31.379887580871578</v>
      </c>
      <c r="AL58" s="84">
        <v>26.255157470703121</v>
      </c>
      <c r="AM58" s="84">
        <v>35.188318252563477</v>
      </c>
      <c r="AN58" s="84">
        <v>26.421102523803711</v>
      </c>
      <c r="AO58" s="84">
        <v>36.594205856323242</v>
      </c>
      <c r="AP58" s="84">
        <v>26.287972450256351</v>
      </c>
      <c r="AQ58" s="85"/>
      <c r="AR58" s="84">
        <v>4.2762966156005859</v>
      </c>
      <c r="AS58" s="84">
        <v>0.58612251281738281</v>
      </c>
      <c r="AT58" s="84">
        <v>0.58256816864013672</v>
      </c>
      <c r="AU58" s="84">
        <v>-0.35469150543212891</v>
      </c>
      <c r="AV58" s="84">
        <v>10.91441059112549</v>
      </c>
      <c r="AW58" s="84">
        <v>13.033177375793461</v>
      </c>
      <c r="AX58" s="84">
        <v>5.124730110168457</v>
      </c>
      <c r="AY58" s="84">
        <v>8.7672157287597656</v>
      </c>
      <c r="AZ58" s="84">
        <v>10.306233406066889</v>
      </c>
      <c r="BA58" s="85"/>
      <c r="BB58" s="83" t="s">
        <v>21</v>
      </c>
      <c r="BC58" s="83">
        <v>92</v>
      </c>
    </row>
    <row r="59" spans="1:55">
      <c r="A59" s="83" t="s">
        <v>214</v>
      </c>
      <c r="B59" s="83">
        <v>32</v>
      </c>
      <c r="C59" s="83">
        <v>32</v>
      </c>
      <c r="D59" s="83" t="s">
        <v>308</v>
      </c>
      <c r="E59" s="83" t="s">
        <v>309</v>
      </c>
      <c r="F59" s="83"/>
      <c r="G59" s="83"/>
      <c r="H59" s="83" t="s">
        <v>310</v>
      </c>
      <c r="I59" s="83" t="s">
        <v>21</v>
      </c>
      <c r="J59" s="83">
        <v>70</v>
      </c>
      <c r="K59" s="83" t="s">
        <v>22</v>
      </c>
      <c r="L59" s="83">
        <v>20191204</v>
      </c>
      <c r="M59" s="83"/>
      <c r="N59" s="83"/>
      <c r="O59" s="99">
        <f t="shared" si="0"/>
        <v>89.1</v>
      </c>
      <c r="Q59" s="83">
        <v>52.72</v>
      </c>
      <c r="R59" s="83">
        <v>1.36</v>
      </c>
      <c r="S59" s="83">
        <v>0.49</v>
      </c>
      <c r="T59" s="83">
        <v>30</v>
      </c>
      <c r="U59" s="83">
        <v>1581.7</v>
      </c>
      <c r="V59" s="83"/>
      <c r="W59" s="84">
        <v>29.63352108001709</v>
      </c>
      <c r="X59" s="84">
        <v>26.324705123901371</v>
      </c>
      <c r="Y59" s="84"/>
      <c r="Z59" s="84"/>
      <c r="AA59" s="84">
        <v>27.09832859039307</v>
      </c>
      <c r="AB59" s="84">
        <v>26.38494968414307</v>
      </c>
      <c r="AC59" s="84">
        <v>25.363284111022949</v>
      </c>
      <c r="AD59" s="84">
        <v>25.268697738647461</v>
      </c>
      <c r="AE59" s="84">
        <v>25.878627777099609</v>
      </c>
      <c r="AF59" s="84">
        <v>25.957880020141602</v>
      </c>
      <c r="AG59" s="84">
        <v>38.904438018798828</v>
      </c>
      <c r="AH59" s="84">
        <v>28.316652297973629</v>
      </c>
      <c r="AI59" s="84">
        <v>38.463066101074219</v>
      </c>
      <c r="AJ59" s="84">
        <v>26.463837623596191</v>
      </c>
      <c r="AK59" s="84">
        <v>32.237710952758789</v>
      </c>
      <c r="AL59" s="84">
        <v>26.381952285766602</v>
      </c>
      <c r="AM59" s="84">
        <v>34.952526092529297</v>
      </c>
      <c r="AN59" s="84">
        <v>26.53173923492432</v>
      </c>
      <c r="AO59" s="84">
        <v>37.135711669921882</v>
      </c>
      <c r="AP59" s="84">
        <v>26.387680053710941</v>
      </c>
      <c r="AQ59" s="85"/>
      <c r="AR59" s="84">
        <v>3.3088159561157231</v>
      </c>
      <c r="AS59" s="84">
        <v>0.71337890625</v>
      </c>
      <c r="AT59" s="84">
        <v>9.4586372375488281E-2</v>
      </c>
      <c r="AU59" s="84">
        <v>-7.9252243041992188E-2</v>
      </c>
      <c r="AV59" s="84">
        <v>10.587785720825201</v>
      </c>
      <c r="AW59" s="84">
        <v>11.999228477478029</v>
      </c>
      <c r="AX59" s="84">
        <v>5.8557586669921884</v>
      </c>
      <c r="AY59" s="84">
        <v>8.4207868576049805</v>
      </c>
      <c r="AZ59" s="84">
        <v>10.748031616210939</v>
      </c>
      <c r="BA59" s="85"/>
      <c r="BB59" s="83" t="s">
        <v>21</v>
      </c>
      <c r="BC59" s="83">
        <v>89.1</v>
      </c>
    </row>
    <row r="60" spans="1:55">
      <c r="A60" s="83" t="s">
        <v>214</v>
      </c>
      <c r="B60" s="83">
        <v>33</v>
      </c>
      <c r="C60" s="83">
        <v>33</v>
      </c>
      <c r="D60" s="83" t="s">
        <v>311</v>
      </c>
      <c r="E60" s="83" t="s">
        <v>312</v>
      </c>
      <c r="F60" s="83"/>
      <c r="G60" s="83"/>
      <c r="H60" s="83" t="s">
        <v>313</v>
      </c>
      <c r="I60" s="83" t="s">
        <v>21</v>
      </c>
      <c r="J60" s="83">
        <v>71</v>
      </c>
      <c r="K60" s="83" t="s">
        <v>22</v>
      </c>
      <c r="L60" s="83">
        <v>20200824</v>
      </c>
      <c r="M60" s="83"/>
      <c r="N60" s="83"/>
      <c r="O60" s="99">
        <f t="shared" si="0"/>
        <v>98.3</v>
      </c>
      <c r="Q60" s="83">
        <v>32.89</v>
      </c>
      <c r="R60" s="83">
        <v>1.32</v>
      </c>
      <c r="S60" s="83">
        <v>0.48</v>
      </c>
      <c r="T60" s="83">
        <v>30</v>
      </c>
      <c r="U60" s="83">
        <v>986.8</v>
      </c>
      <c r="V60" s="83"/>
      <c r="W60" s="84">
        <v>27.605560302734379</v>
      </c>
      <c r="X60" s="84">
        <v>26.885430335998539</v>
      </c>
      <c r="Y60" s="84"/>
      <c r="Z60" s="84"/>
      <c r="AA60" s="84">
        <v>26.02558422088623</v>
      </c>
      <c r="AB60" s="84">
        <v>26.732179641723629</v>
      </c>
      <c r="AC60" s="84">
        <v>23.862088203430179</v>
      </c>
      <c r="AD60" s="84">
        <v>25.729118347167969</v>
      </c>
      <c r="AE60" s="84">
        <v>24.74536037445068</v>
      </c>
      <c r="AF60" s="84">
        <v>26.121026992797852</v>
      </c>
      <c r="AG60" s="84">
        <v>37.764070510864258</v>
      </c>
      <c r="AH60" s="84">
        <v>28.642152786254879</v>
      </c>
      <c r="AI60" s="84">
        <v>35.935583114624023</v>
      </c>
      <c r="AJ60" s="84">
        <v>26.907784461975101</v>
      </c>
      <c r="AK60" s="84">
        <v>30.420462608337399</v>
      </c>
      <c r="AL60" s="84">
        <v>26.946256637573239</v>
      </c>
      <c r="AM60" s="84">
        <v>32.627283096313477</v>
      </c>
      <c r="AN60" s="84">
        <v>26.966367721557621</v>
      </c>
      <c r="AO60" s="84">
        <v>33.826047897338867</v>
      </c>
      <c r="AP60" s="84">
        <v>26.767035484313961</v>
      </c>
      <c r="AQ60" s="85"/>
      <c r="AR60" s="84">
        <v>0.72012996673583984</v>
      </c>
      <c r="AS60" s="84">
        <v>-0.70659542083740234</v>
      </c>
      <c r="AT60" s="84">
        <v>-1.867030143737793</v>
      </c>
      <c r="AU60" s="84">
        <v>-1.375666618347168</v>
      </c>
      <c r="AV60" s="84">
        <v>9.121917724609375</v>
      </c>
      <c r="AW60" s="84">
        <v>9.0277986526489258</v>
      </c>
      <c r="AX60" s="84">
        <v>3.4742059707641602</v>
      </c>
      <c r="AY60" s="84">
        <v>5.6609153747558594</v>
      </c>
      <c r="AZ60" s="84">
        <v>7.0590124130249023</v>
      </c>
      <c r="BA60" s="85"/>
      <c r="BB60" s="83" t="s">
        <v>21</v>
      </c>
      <c r="BC60" s="83">
        <v>98.3</v>
      </c>
    </row>
    <row r="61" spans="1:55">
      <c r="A61" s="83" t="s">
        <v>214</v>
      </c>
      <c r="B61" s="83">
        <v>34</v>
      </c>
      <c r="C61" s="83">
        <v>34</v>
      </c>
      <c r="D61" s="83" t="s">
        <v>314</v>
      </c>
      <c r="E61" s="83" t="s">
        <v>315</v>
      </c>
      <c r="F61" s="83"/>
      <c r="G61" s="83"/>
      <c r="H61" s="83" t="s">
        <v>316</v>
      </c>
      <c r="I61" s="83" t="s">
        <v>21</v>
      </c>
      <c r="J61" s="83">
        <v>72</v>
      </c>
      <c r="K61" s="83" t="s">
        <v>22</v>
      </c>
      <c r="L61" s="83">
        <v>20210316</v>
      </c>
      <c r="M61" s="83"/>
      <c r="N61" s="83"/>
      <c r="O61" s="99">
        <f t="shared" si="0"/>
        <v>94.8</v>
      </c>
      <c r="Q61" s="83">
        <v>24.67</v>
      </c>
      <c r="R61" s="83">
        <v>1.28</v>
      </c>
      <c r="S61" s="83">
        <v>0.47</v>
      </c>
      <c r="T61" s="83">
        <v>30</v>
      </c>
      <c r="U61" s="83">
        <v>740.2</v>
      </c>
      <c r="V61" s="83"/>
      <c r="W61" s="84">
        <v>27.403627395629879</v>
      </c>
      <c r="X61" s="84">
        <v>26.86603832244873</v>
      </c>
      <c r="Y61" s="84"/>
      <c r="Z61" s="84"/>
      <c r="AA61" s="84">
        <v>26.076554298400879</v>
      </c>
      <c r="AB61" s="84">
        <v>26.804103851318359</v>
      </c>
      <c r="AC61" s="84">
        <v>25.00838470458984</v>
      </c>
      <c r="AD61" s="84">
        <v>25.677643775939941</v>
      </c>
      <c r="AE61" s="84">
        <v>25.901707649230961</v>
      </c>
      <c r="AF61" s="84">
        <v>26.440237045288089</v>
      </c>
      <c r="AG61" s="84">
        <v>39.29554557800293</v>
      </c>
      <c r="AH61" s="84">
        <v>28.622756958007809</v>
      </c>
      <c r="AI61" s="84">
        <v>36.251737594604492</v>
      </c>
      <c r="AJ61" s="84">
        <v>26.918867111206051</v>
      </c>
      <c r="AK61" s="84">
        <v>31.565641403198239</v>
      </c>
      <c r="AL61" s="84">
        <v>26.84058952331543</v>
      </c>
      <c r="AM61" s="84">
        <v>32.509504318237298</v>
      </c>
      <c r="AN61" s="84">
        <v>26.964386940002441</v>
      </c>
      <c r="AO61" s="84">
        <v>34.914138793945312</v>
      </c>
      <c r="AP61" s="84">
        <v>26.925631523132321</v>
      </c>
      <c r="AQ61" s="85"/>
      <c r="AR61" s="84">
        <v>0.53758907318115234</v>
      </c>
      <c r="AS61" s="84">
        <v>-0.72754955291748047</v>
      </c>
      <c r="AT61" s="84">
        <v>-0.66925907135009766</v>
      </c>
      <c r="AU61" s="84">
        <v>-0.53852939605712891</v>
      </c>
      <c r="AV61" s="84">
        <v>10.672788619995121</v>
      </c>
      <c r="AW61" s="84">
        <v>9.3328704833984375</v>
      </c>
      <c r="AX61" s="84">
        <v>4.7250518798828116</v>
      </c>
      <c r="AY61" s="84">
        <v>5.5451173782348633</v>
      </c>
      <c r="AZ61" s="84">
        <v>7.9885072708129883</v>
      </c>
      <c r="BA61" s="85"/>
      <c r="BB61" s="83" t="s">
        <v>21</v>
      </c>
      <c r="BC61" s="83">
        <v>94.8</v>
      </c>
    </row>
    <row r="62" spans="1:55">
      <c r="A62" s="83" t="s">
        <v>214</v>
      </c>
      <c r="B62" s="83">
        <v>35</v>
      </c>
      <c r="C62" s="83">
        <v>35</v>
      </c>
      <c r="D62" s="83" t="s">
        <v>317</v>
      </c>
      <c r="E62" s="83" t="s">
        <v>318</v>
      </c>
      <c r="F62" s="83"/>
      <c r="G62" s="83"/>
      <c r="H62" s="83" t="s">
        <v>319</v>
      </c>
      <c r="I62" s="83" t="s">
        <v>21</v>
      </c>
      <c r="J62" s="83">
        <v>73</v>
      </c>
      <c r="K62" s="83" t="s">
        <v>22</v>
      </c>
      <c r="L62" s="83">
        <v>20200914</v>
      </c>
      <c r="M62" s="83"/>
      <c r="N62" s="83"/>
      <c r="O62" s="99">
        <f t="shared" si="0"/>
        <v>90.2</v>
      </c>
      <c r="Q62" s="83">
        <v>27.19</v>
      </c>
      <c r="R62" s="83">
        <v>1.3</v>
      </c>
      <c r="S62" s="83">
        <v>0.47</v>
      </c>
      <c r="T62" s="83">
        <v>30</v>
      </c>
      <c r="U62" s="83">
        <v>815.6</v>
      </c>
      <c r="V62" s="83"/>
      <c r="W62" s="84">
        <v>27.409976959228519</v>
      </c>
      <c r="X62" s="84">
        <v>26.1921854019165</v>
      </c>
      <c r="Y62" s="84"/>
      <c r="Z62" s="84"/>
      <c r="AA62" s="84">
        <v>25.788897514343262</v>
      </c>
      <c r="AB62" s="84">
        <v>26.10157489776611</v>
      </c>
      <c r="AC62" s="84">
        <v>24.54517650604248</v>
      </c>
      <c r="AD62" s="84">
        <v>25.058680534362789</v>
      </c>
      <c r="AE62" s="84">
        <v>25.651646614074711</v>
      </c>
      <c r="AF62" s="84">
        <v>25.78923416137695</v>
      </c>
      <c r="AG62" s="84">
        <v>38.587230682373047</v>
      </c>
      <c r="AH62" s="84">
        <v>27.941974639892582</v>
      </c>
      <c r="AI62" s="84">
        <v>36.268108367919922</v>
      </c>
      <c r="AJ62" s="84">
        <v>26.173456192016602</v>
      </c>
      <c r="AK62" s="84">
        <v>31.70405387878418</v>
      </c>
      <c r="AL62" s="84">
        <v>26.088592529296879</v>
      </c>
      <c r="AM62" s="84">
        <v>32.800151824951172</v>
      </c>
      <c r="AN62" s="84">
        <v>26.219967842102051</v>
      </c>
      <c r="AO62" s="84">
        <v>34.443191528320312</v>
      </c>
      <c r="AP62" s="84">
        <v>26.31563758850098</v>
      </c>
      <c r="AQ62" s="85"/>
      <c r="AR62" s="84">
        <v>1.2177915573120119</v>
      </c>
      <c r="AS62" s="84">
        <v>-0.31267738342285162</v>
      </c>
      <c r="AT62" s="84">
        <v>-0.5135040283203125</v>
      </c>
      <c r="AU62" s="84">
        <v>-0.13758754730224609</v>
      </c>
      <c r="AV62" s="84">
        <v>10.645256042480471</v>
      </c>
      <c r="AW62" s="84">
        <v>10.09465217590332</v>
      </c>
      <c r="AX62" s="84">
        <v>5.6154613494873047</v>
      </c>
      <c r="AY62" s="84">
        <v>6.5801839828491211</v>
      </c>
      <c r="AZ62" s="84">
        <v>8.1275539398193359</v>
      </c>
      <c r="BA62" s="85"/>
      <c r="BB62" s="83" t="s">
        <v>21</v>
      </c>
      <c r="BC62" s="83">
        <v>90.2</v>
      </c>
    </row>
    <row r="63" spans="1:55">
      <c r="A63" s="83" t="s">
        <v>214</v>
      </c>
      <c r="B63" s="83">
        <v>36</v>
      </c>
      <c r="C63" s="83">
        <v>36</v>
      </c>
      <c r="D63" s="83" t="s">
        <v>320</v>
      </c>
      <c r="E63" s="83" t="s">
        <v>321</v>
      </c>
      <c r="F63" s="83"/>
      <c r="G63" s="83"/>
      <c r="H63" s="83" t="s">
        <v>322</v>
      </c>
      <c r="I63" s="83" t="s">
        <v>21</v>
      </c>
      <c r="J63" s="83">
        <v>76</v>
      </c>
      <c r="K63" s="83" t="s">
        <v>22</v>
      </c>
      <c r="L63" s="83">
        <v>20190710</v>
      </c>
      <c r="M63" s="83"/>
      <c r="N63" s="83"/>
      <c r="O63" s="99">
        <f t="shared" si="0"/>
        <v>89.9</v>
      </c>
      <c r="Q63" s="83">
        <v>27.33</v>
      </c>
      <c r="R63" s="83">
        <v>1.29</v>
      </c>
      <c r="S63" s="83">
        <v>0.46</v>
      </c>
      <c r="T63" s="83">
        <v>30</v>
      </c>
      <c r="U63" s="83">
        <v>820</v>
      </c>
      <c r="V63" s="83"/>
      <c r="W63" s="84">
        <v>28.946111679077148</v>
      </c>
      <c r="X63" s="84">
        <v>26.03180027008057</v>
      </c>
      <c r="Y63" s="84"/>
      <c r="Z63" s="84"/>
      <c r="AA63" s="84">
        <v>26.563449859619141</v>
      </c>
      <c r="AB63" s="84">
        <v>26.046394348144531</v>
      </c>
      <c r="AC63" s="84">
        <v>25.089645385742191</v>
      </c>
      <c r="AD63" s="84">
        <v>25.109705924987789</v>
      </c>
      <c r="AE63" s="84">
        <v>25.703036308288571</v>
      </c>
      <c r="AF63" s="84">
        <v>25.78154182434082</v>
      </c>
      <c r="AG63" s="84">
        <v>37.540060043334961</v>
      </c>
      <c r="AH63" s="84">
        <v>27.996731758117679</v>
      </c>
      <c r="AI63" s="84">
        <v>35.131731033325202</v>
      </c>
      <c r="AJ63" s="84">
        <v>26.12214469909668</v>
      </c>
      <c r="AK63" s="84">
        <v>31.88803672790527</v>
      </c>
      <c r="AL63" s="84">
        <v>26.004366874694821</v>
      </c>
      <c r="AM63" s="84">
        <v>32.202213287353523</v>
      </c>
      <c r="AN63" s="84">
        <v>26.102852821350101</v>
      </c>
      <c r="AO63" s="84">
        <v>36.373956680297852</v>
      </c>
      <c r="AP63" s="84">
        <v>27.009445190429691</v>
      </c>
      <c r="AQ63" s="85"/>
      <c r="AR63" s="84">
        <v>2.914311408996582</v>
      </c>
      <c r="AS63" s="84">
        <v>0.51705551147460938</v>
      </c>
      <c r="AT63" s="84">
        <v>-2.0060539245605469E-2</v>
      </c>
      <c r="AU63" s="84">
        <v>-7.8505516052246094E-2</v>
      </c>
      <c r="AV63" s="84">
        <v>9.5433282852172852</v>
      </c>
      <c r="AW63" s="84">
        <v>9.0095863342285156</v>
      </c>
      <c r="AX63" s="84">
        <v>5.8836698532104492</v>
      </c>
      <c r="AY63" s="84">
        <v>6.099360466003418</v>
      </c>
      <c r="AZ63" s="84">
        <v>9.3645114898681641</v>
      </c>
      <c r="BA63" s="85"/>
      <c r="BB63" s="83" t="s">
        <v>21</v>
      </c>
      <c r="BC63" s="83">
        <v>89.9</v>
      </c>
    </row>
    <row r="64" spans="1:55">
      <c r="A64" s="83" t="s">
        <v>214</v>
      </c>
      <c r="B64" s="83">
        <v>37</v>
      </c>
      <c r="C64" s="83">
        <v>37</v>
      </c>
      <c r="D64" s="83" t="s">
        <v>323</v>
      </c>
      <c r="E64" s="83" t="s">
        <v>324</v>
      </c>
      <c r="F64" s="83"/>
      <c r="G64" s="83"/>
      <c r="H64" s="83" t="s">
        <v>325</v>
      </c>
      <c r="I64" s="83" t="s">
        <v>21</v>
      </c>
      <c r="J64" s="83">
        <v>78</v>
      </c>
      <c r="K64" s="83" t="s">
        <v>22</v>
      </c>
      <c r="L64" s="83">
        <v>20200916</v>
      </c>
      <c r="M64" s="83"/>
      <c r="N64" s="83"/>
      <c r="O64" s="99">
        <f t="shared" si="0"/>
        <v>97.6</v>
      </c>
      <c r="Q64" s="83">
        <v>15.31</v>
      </c>
      <c r="R64" s="83">
        <v>1.25</v>
      </c>
      <c r="S64" s="83">
        <v>0.43</v>
      </c>
      <c r="T64" s="83">
        <v>30</v>
      </c>
      <c r="U64" s="83">
        <v>459.2</v>
      </c>
      <c r="V64" s="83"/>
      <c r="W64" s="84">
        <v>25.23320484161377</v>
      </c>
      <c r="X64" s="84">
        <v>26.297915458679199</v>
      </c>
      <c r="Y64" s="84"/>
      <c r="Z64" s="84"/>
      <c r="AA64" s="84">
        <v>24.409208297729489</v>
      </c>
      <c r="AB64" s="84">
        <v>26.168512344360352</v>
      </c>
      <c r="AC64" s="84">
        <v>26.015212059021</v>
      </c>
      <c r="AD64" s="84">
        <v>25.566704750061039</v>
      </c>
      <c r="AE64" s="84">
        <v>24.75494480133057</v>
      </c>
      <c r="AF64" s="84">
        <v>25.904403686523441</v>
      </c>
      <c r="AG64" s="84">
        <v>35.585844039916992</v>
      </c>
      <c r="AH64" s="84">
        <v>28.17974853515625</v>
      </c>
      <c r="AI64" s="84">
        <v>30.809572219848629</v>
      </c>
      <c r="AJ64" s="84">
        <v>26.480562210083011</v>
      </c>
      <c r="AK64" s="84">
        <v>31.391861915588379</v>
      </c>
      <c r="AL64" s="84">
        <v>26.570085525512699</v>
      </c>
      <c r="AM64" s="84">
        <v>28.479434013366699</v>
      </c>
      <c r="AN64" s="84">
        <v>26.1378288269043</v>
      </c>
      <c r="AO64" s="84">
        <v>32.47972297668457</v>
      </c>
      <c r="AP64" s="84">
        <v>26.481058120727539</v>
      </c>
      <c r="AQ64" s="85"/>
      <c r="AR64" s="84">
        <v>-1.0647106170654299</v>
      </c>
      <c r="AS64" s="84">
        <v>-1.7593040466308589</v>
      </c>
      <c r="AT64" s="84">
        <v>0.44850730895996088</v>
      </c>
      <c r="AU64" s="84">
        <v>-1.1494588851928711</v>
      </c>
      <c r="AV64" s="84">
        <v>7.4060955047607422</v>
      </c>
      <c r="AW64" s="84">
        <v>4.329010009765625</v>
      </c>
      <c r="AX64" s="84">
        <v>4.8217763900756836</v>
      </c>
      <c r="AY64" s="84">
        <v>2.3416051864624019</v>
      </c>
      <c r="AZ64" s="84">
        <v>5.9986648559570312</v>
      </c>
      <c r="BA64" s="85"/>
      <c r="BB64" s="83" t="s">
        <v>21</v>
      </c>
      <c r="BC64" s="83">
        <v>97.6</v>
      </c>
    </row>
    <row r="65" spans="1:55">
      <c r="A65" s="83" t="s">
        <v>214</v>
      </c>
      <c r="B65" s="83">
        <v>38</v>
      </c>
      <c r="C65" s="83">
        <v>38</v>
      </c>
      <c r="D65" s="83" t="s">
        <v>326</v>
      </c>
      <c r="E65" s="83" t="s">
        <v>327</v>
      </c>
      <c r="F65" s="83"/>
      <c r="G65" s="83"/>
      <c r="H65" s="83" t="s">
        <v>328</v>
      </c>
      <c r="I65" s="83" t="s">
        <v>21</v>
      </c>
      <c r="J65" s="83">
        <v>78</v>
      </c>
      <c r="K65" s="83" t="s">
        <v>22</v>
      </c>
      <c r="L65" s="83">
        <v>20201007</v>
      </c>
      <c r="M65" s="83"/>
      <c r="N65" s="83"/>
      <c r="O65" s="99">
        <f t="shared" si="0"/>
        <v>94.9</v>
      </c>
      <c r="Q65" s="83">
        <v>31.96</v>
      </c>
      <c r="R65" s="83">
        <v>1.34</v>
      </c>
      <c r="S65" s="83">
        <v>0.47</v>
      </c>
      <c r="T65" s="83">
        <v>30</v>
      </c>
      <c r="U65" s="83">
        <v>958.8</v>
      </c>
      <c r="V65" s="83"/>
      <c r="W65" s="84">
        <v>27.732075691223141</v>
      </c>
      <c r="X65" s="84">
        <v>26.804024696350101</v>
      </c>
      <c r="Y65" s="84"/>
      <c r="Z65" s="84"/>
      <c r="AA65" s="84">
        <v>26.60111045837402</v>
      </c>
      <c r="AB65" s="84">
        <v>26.817532539367679</v>
      </c>
      <c r="AC65" s="84">
        <v>25.45269680023193</v>
      </c>
      <c r="AD65" s="84">
        <v>25.831515312194821</v>
      </c>
      <c r="AE65" s="84">
        <v>24.742486953735352</v>
      </c>
      <c r="AF65" s="84">
        <v>26.209623336791989</v>
      </c>
      <c r="AG65" s="84">
        <v>38.023500442504883</v>
      </c>
      <c r="AH65" s="84">
        <v>28.583782196044918</v>
      </c>
      <c r="AI65" s="84">
        <v>34.854793548583977</v>
      </c>
      <c r="AJ65" s="84">
        <v>26.85196685791016</v>
      </c>
      <c r="AK65" s="84">
        <v>31.35958099365234</v>
      </c>
      <c r="AL65" s="84">
        <v>26.85674953460693</v>
      </c>
      <c r="AM65" s="84">
        <v>31.960832595825199</v>
      </c>
      <c r="AN65" s="84">
        <v>26.88600063323975</v>
      </c>
      <c r="AO65" s="84">
        <v>34.389566421508789</v>
      </c>
      <c r="AP65" s="84">
        <v>26.839048385620121</v>
      </c>
      <c r="AQ65" s="85"/>
      <c r="AR65" s="84">
        <v>0.92805099487304688</v>
      </c>
      <c r="AS65" s="84">
        <v>-0.21642208099365229</v>
      </c>
      <c r="AT65" s="84">
        <v>-0.37881851196289062</v>
      </c>
      <c r="AU65" s="84">
        <v>-1.4671363830566411</v>
      </c>
      <c r="AV65" s="84">
        <v>9.4397182464599609</v>
      </c>
      <c r="AW65" s="84">
        <v>8.0028266906738281</v>
      </c>
      <c r="AX65" s="84">
        <v>4.5028314590454102</v>
      </c>
      <c r="AY65" s="84">
        <v>5.0748319625854492</v>
      </c>
      <c r="AZ65" s="84">
        <v>7.5505180358886719</v>
      </c>
      <c r="BA65" s="85"/>
      <c r="BB65" s="83" t="s">
        <v>21</v>
      </c>
      <c r="BC65" s="83">
        <v>94.9</v>
      </c>
    </row>
    <row r="66" spans="1:55">
      <c r="A66" s="83" t="s">
        <v>214</v>
      </c>
      <c r="B66" s="83">
        <v>39</v>
      </c>
      <c r="C66" s="83">
        <v>39</v>
      </c>
      <c r="D66" s="83" t="s">
        <v>329</v>
      </c>
      <c r="E66" s="83" t="s">
        <v>330</v>
      </c>
      <c r="F66" s="83"/>
      <c r="G66" s="83"/>
      <c r="H66" s="83" t="s">
        <v>331</v>
      </c>
      <c r="I66" s="83" t="s">
        <v>21</v>
      </c>
      <c r="J66" s="83">
        <v>78</v>
      </c>
      <c r="K66" s="83" t="s">
        <v>22</v>
      </c>
      <c r="L66" s="83">
        <v>20210324</v>
      </c>
      <c r="M66" s="83"/>
      <c r="N66" s="83"/>
      <c r="O66" s="99">
        <f t="shared" si="0"/>
        <v>96.3</v>
      </c>
      <c r="Q66" s="83">
        <v>43.2</v>
      </c>
      <c r="R66" s="83">
        <v>1.35</v>
      </c>
      <c r="S66" s="83">
        <v>0.47</v>
      </c>
      <c r="T66" s="83">
        <v>30</v>
      </c>
      <c r="U66" s="83">
        <v>1295.9000000000001</v>
      </c>
      <c r="V66" s="83"/>
      <c r="W66" s="84">
        <v>27.040487289428711</v>
      </c>
      <c r="X66" s="84">
        <v>26.95083045959473</v>
      </c>
      <c r="Y66" s="84"/>
      <c r="Z66" s="84"/>
      <c r="AA66" s="84">
        <v>25.875887870788571</v>
      </c>
      <c r="AB66" s="84">
        <v>26.898736000061039</v>
      </c>
      <c r="AC66" s="84">
        <v>26.152729988098141</v>
      </c>
      <c r="AD66" s="84">
        <v>25.98413181304932</v>
      </c>
      <c r="AE66" s="84">
        <v>25.566971778869629</v>
      </c>
      <c r="AF66" s="84">
        <v>26.49951267242432</v>
      </c>
      <c r="AG66" s="84">
        <v>38.006902694702148</v>
      </c>
      <c r="AH66" s="84">
        <v>28.767959594726559</v>
      </c>
      <c r="AI66" s="84">
        <v>33.950174331665039</v>
      </c>
      <c r="AJ66" s="84">
        <v>27.007255554199219</v>
      </c>
      <c r="AK66" s="84">
        <v>31.411953926086429</v>
      </c>
      <c r="AL66" s="84">
        <v>26.969813346862789</v>
      </c>
      <c r="AM66" s="84">
        <v>31.334027290344238</v>
      </c>
      <c r="AN66" s="84">
        <v>26.991971015930179</v>
      </c>
      <c r="AO66" s="84">
        <v>33.639471054077148</v>
      </c>
      <c r="AP66" s="84">
        <v>27.017863273620609</v>
      </c>
      <c r="AQ66" s="85"/>
      <c r="AR66" s="84">
        <v>8.9656829833984375E-2</v>
      </c>
      <c r="AS66" s="84">
        <v>-1.0228481292724609</v>
      </c>
      <c r="AT66" s="84">
        <v>0.1685981750488281</v>
      </c>
      <c r="AU66" s="84">
        <v>-0.9325408935546875</v>
      </c>
      <c r="AV66" s="84">
        <v>9.2389430999755859</v>
      </c>
      <c r="AW66" s="84">
        <v>6.9429187774658203</v>
      </c>
      <c r="AX66" s="84">
        <v>4.4421405792236328</v>
      </c>
      <c r="AY66" s="84">
        <v>4.3420562744140616</v>
      </c>
      <c r="AZ66" s="84">
        <v>6.621607780456543</v>
      </c>
      <c r="BA66" s="85"/>
      <c r="BB66" s="83" t="s">
        <v>21</v>
      </c>
      <c r="BC66" s="83">
        <v>96.3</v>
      </c>
    </row>
    <row r="67" spans="1:55">
      <c r="A67" s="83" t="s">
        <v>214</v>
      </c>
      <c r="B67" s="83">
        <v>40</v>
      </c>
      <c r="C67" s="83">
        <v>40</v>
      </c>
      <c r="D67" s="83" t="s">
        <v>332</v>
      </c>
      <c r="E67" s="83" t="s">
        <v>333</v>
      </c>
      <c r="F67" s="83"/>
      <c r="G67" s="83"/>
      <c r="H67" s="83" t="s">
        <v>334</v>
      </c>
      <c r="I67" s="83" t="s">
        <v>21</v>
      </c>
      <c r="J67" s="83">
        <v>79</v>
      </c>
      <c r="K67" s="83" t="s">
        <v>22</v>
      </c>
      <c r="L67" s="83">
        <v>20201123</v>
      </c>
      <c r="M67" s="83"/>
      <c r="N67" s="83"/>
      <c r="O67" s="99">
        <f t="shared" si="0"/>
        <v>86.9</v>
      </c>
      <c r="Q67" s="83">
        <v>24.44</v>
      </c>
      <c r="R67" s="83">
        <v>1.28</v>
      </c>
      <c r="S67" s="83">
        <v>0.45</v>
      </c>
      <c r="T67" s="83">
        <v>30</v>
      </c>
      <c r="U67" s="83">
        <v>733.1</v>
      </c>
      <c r="V67" s="83"/>
      <c r="W67" s="84">
        <v>25.181882858276371</v>
      </c>
      <c r="X67" s="84">
        <v>24.917843818664551</v>
      </c>
      <c r="Y67" s="84"/>
      <c r="Z67" s="84"/>
      <c r="AA67" s="84">
        <v>24.54371452331543</v>
      </c>
      <c r="AB67" s="84">
        <v>24.904994964599609</v>
      </c>
      <c r="AC67" s="84">
        <v>23.265520095825199</v>
      </c>
      <c r="AD67" s="84">
        <v>23.925862312316891</v>
      </c>
      <c r="AE67" s="84">
        <v>24.040387153625488</v>
      </c>
      <c r="AF67" s="84">
        <v>24.518239974975589</v>
      </c>
      <c r="AG67" s="84">
        <v>37.386938095092773</v>
      </c>
      <c r="AH67" s="84">
        <v>26.594034194946289</v>
      </c>
      <c r="AI67" s="84">
        <v>31.995600700378422</v>
      </c>
      <c r="AJ67" s="84">
        <v>24.96590423583984</v>
      </c>
      <c r="AK67" s="84">
        <v>30.579924583435059</v>
      </c>
      <c r="AL67" s="84">
        <v>24.945425033569339</v>
      </c>
      <c r="AM67" s="84">
        <v>29.462709426879879</v>
      </c>
      <c r="AN67" s="84">
        <v>24.98065185546875</v>
      </c>
      <c r="AO67" s="84">
        <v>32.668100357055657</v>
      </c>
      <c r="AP67" s="84">
        <v>25.02556228637695</v>
      </c>
      <c r="AQ67" s="85"/>
      <c r="AR67" s="84">
        <v>0.26403903961181641</v>
      </c>
      <c r="AS67" s="84">
        <v>-0.36128044128417969</v>
      </c>
      <c r="AT67" s="84">
        <v>-0.66034221649169922</v>
      </c>
      <c r="AU67" s="84">
        <v>-0.47785282135009771</v>
      </c>
      <c r="AV67" s="84">
        <v>10.792903900146481</v>
      </c>
      <c r="AW67" s="84">
        <v>7.0296964645385742</v>
      </c>
      <c r="AX67" s="84">
        <v>5.6344995498657227</v>
      </c>
      <c r="AY67" s="84">
        <v>4.4820575714111328</v>
      </c>
      <c r="AZ67" s="84">
        <v>7.6425380706787109</v>
      </c>
      <c r="BA67" s="85"/>
      <c r="BB67" s="83" t="s">
        <v>21</v>
      </c>
      <c r="BC67" s="83">
        <v>86.9</v>
      </c>
    </row>
    <row r="68" spans="1:55">
      <c r="A68" s="83" t="s">
        <v>214</v>
      </c>
      <c r="B68" s="83">
        <v>41</v>
      </c>
      <c r="C68" s="83">
        <v>41</v>
      </c>
      <c r="D68" s="83" t="s">
        <v>335</v>
      </c>
      <c r="E68" s="83" t="s">
        <v>336</v>
      </c>
      <c r="F68" s="83"/>
      <c r="G68" s="83"/>
      <c r="H68" s="83" t="s">
        <v>337</v>
      </c>
      <c r="I68" s="83" t="s">
        <v>21</v>
      </c>
      <c r="J68" s="83">
        <v>79</v>
      </c>
      <c r="K68" s="83" t="s">
        <v>22</v>
      </c>
      <c r="L68" s="83"/>
      <c r="M68" s="83"/>
      <c r="N68" s="83"/>
      <c r="O68" s="99">
        <f t="shared" ref="O68:O131" si="1">BC68</f>
        <v>97.9</v>
      </c>
      <c r="Q68" s="83">
        <v>20.82</v>
      </c>
      <c r="R68" s="83">
        <v>1.27</v>
      </c>
      <c r="S68" s="83">
        <v>0.45</v>
      </c>
      <c r="T68" s="83">
        <v>30</v>
      </c>
      <c r="U68" s="83">
        <v>624.5</v>
      </c>
      <c r="V68" s="83"/>
      <c r="W68" s="84">
        <v>26.63411712646484</v>
      </c>
      <c r="X68" s="84">
        <v>26.94717979431152</v>
      </c>
      <c r="Y68" s="84"/>
      <c r="Z68" s="84"/>
      <c r="AA68" s="84">
        <v>25.691093444824219</v>
      </c>
      <c r="AB68" s="84">
        <v>26.844820022583011</v>
      </c>
      <c r="AC68" s="84">
        <v>24.84427452087402</v>
      </c>
      <c r="AD68" s="84">
        <v>25.99407958984375</v>
      </c>
      <c r="AE68" s="84">
        <v>25.384274482727051</v>
      </c>
      <c r="AF68" s="84">
        <v>26.510470390319821</v>
      </c>
      <c r="AG68" s="84">
        <v>37.611684799194343</v>
      </c>
      <c r="AH68" s="84">
        <v>29.191937446594238</v>
      </c>
      <c r="AI68" s="84">
        <v>33.670202255249023</v>
      </c>
      <c r="AJ68" s="84">
        <v>26.94694995880127</v>
      </c>
      <c r="AK68" s="84">
        <v>31.099947929382321</v>
      </c>
      <c r="AL68" s="84">
        <v>26.95685958862305</v>
      </c>
      <c r="AM68" s="84">
        <v>30.63623046875</v>
      </c>
      <c r="AN68" s="84">
        <v>26.921858787536621</v>
      </c>
      <c r="AO68" s="84">
        <v>33.35406494140625</v>
      </c>
      <c r="AP68" s="84">
        <v>26.903937339782711</v>
      </c>
      <c r="AQ68" s="85"/>
      <c r="AR68" s="84">
        <v>-0.31306266784667969</v>
      </c>
      <c r="AS68" s="84">
        <v>-1.1537265777587891</v>
      </c>
      <c r="AT68" s="84">
        <v>-1.149805068969727</v>
      </c>
      <c r="AU68" s="84">
        <v>-1.126195907592773</v>
      </c>
      <c r="AV68" s="84">
        <v>8.4197473526000977</v>
      </c>
      <c r="AW68" s="84">
        <v>6.7232522964477539</v>
      </c>
      <c r="AX68" s="84">
        <v>4.1430883407592773</v>
      </c>
      <c r="AY68" s="84">
        <v>3.7143716812133789</v>
      </c>
      <c r="AZ68" s="84">
        <v>6.4501276016235352</v>
      </c>
      <c r="BA68" s="85"/>
      <c r="BB68" s="83" t="s">
        <v>21</v>
      </c>
      <c r="BC68" s="83">
        <v>97.9</v>
      </c>
    </row>
    <row r="69" spans="1:55">
      <c r="A69" s="83" t="s">
        <v>214</v>
      </c>
      <c r="B69" s="83">
        <v>42</v>
      </c>
      <c r="C69" s="83">
        <v>42</v>
      </c>
      <c r="D69" s="83" t="s">
        <v>338</v>
      </c>
      <c r="E69" s="83" t="s">
        <v>339</v>
      </c>
      <c r="F69" s="83"/>
      <c r="G69" s="83"/>
      <c r="H69" s="83" t="s">
        <v>340</v>
      </c>
      <c r="I69" s="83" t="s">
        <v>21</v>
      </c>
      <c r="J69" s="83">
        <v>79</v>
      </c>
      <c r="K69" s="83" t="s">
        <v>22</v>
      </c>
      <c r="L69" s="83">
        <v>20201104</v>
      </c>
      <c r="M69" s="83"/>
      <c r="N69" s="83"/>
      <c r="O69" s="99">
        <f t="shared" si="1"/>
        <v>97.1</v>
      </c>
      <c r="Q69" s="83">
        <v>33.630000000000003</v>
      </c>
      <c r="R69" s="83">
        <v>1.3</v>
      </c>
      <c r="S69" s="83">
        <v>0.47</v>
      </c>
      <c r="T69" s="83">
        <v>30</v>
      </c>
      <c r="U69" s="83">
        <v>1008.8</v>
      </c>
      <c r="V69" s="83"/>
      <c r="W69" s="84">
        <v>24.93737697601318</v>
      </c>
      <c r="X69" s="84">
        <v>26.016288757324219</v>
      </c>
      <c r="Y69" s="84"/>
      <c r="Z69" s="84"/>
      <c r="AA69" s="84">
        <v>24.131230354309078</v>
      </c>
      <c r="AB69" s="84">
        <v>25.963101387023929</v>
      </c>
      <c r="AC69" s="84">
        <v>24.58953762054443</v>
      </c>
      <c r="AD69" s="84">
        <v>25.314987182617191</v>
      </c>
      <c r="AE69" s="84">
        <v>25.019026756286621</v>
      </c>
      <c r="AF69" s="84">
        <v>25.80352878570557</v>
      </c>
      <c r="AG69" s="84">
        <v>36.741716384887702</v>
      </c>
      <c r="AH69" s="84">
        <v>28.346531867980961</v>
      </c>
      <c r="AI69" s="84">
        <v>31.562961578369141</v>
      </c>
      <c r="AJ69" s="84">
        <v>26.1165657043457</v>
      </c>
      <c r="AK69" s="84">
        <v>31.27101993560791</v>
      </c>
      <c r="AL69" s="84">
        <v>26.158647537231449</v>
      </c>
      <c r="AM69" s="84">
        <v>28.53412914276123</v>
      </c>
      <c r="AN69" s="84">
        <v>25.874367713928219</v>
      </c>
      <c r="AO69" s="84">
        <v>32.658376693725593</v>
      </c>
      <c r="AP69" s="84">
        <v>26.029900550842289</v>
      </c>
      <c r="AQ69" s="85"/>
      <c r="AR69" s="84">
        <v>-1.0789117813110349</v>
      </c>
      <c r="AS69" s="84">
        <v>-1.831871032714844</v>
      </c>
      <c r="AT69" s="84">
        <v>-0.72544956207275391</v>
      </c>
      <c r="AU69" s="84">
        <v>-0.78450202941894531</v>
      </c>
      <c r="AV69" s="84">
        <v>8.3951845169067383</v>
      </c>
      <c r="AW69" s="84">
        <v>5.4463958740234384</v>
      </c>
      <c r="AX69" s="84">
        <v>5.1123723983764648</v>
      </c>
      <c r="AY69" s="84">
        <v>2.6597614288330078</v>
      </c>
      <c r="AZ69" s="84">
        <v>6.6284761428833008</v>
      </c>
      <c r="BA69" s="85"/>
      <c r="BB69" s="83" t="s">
        <v>21</v>
      </c>
      <c r="BC69" s="83">
        <v>97.1</v>
      </c>
    </row>
    <row r="70" spans="1:55">
      <c r="A70" s="83" t="s">
        <v>214</v>
      </c>
      <c r="B70" s="83">
        <v>43</v>
      </c>
      <c r="C70" s="83">
        <v>43</v>
      </c>
      <c r="D70" s="83" t="s">
        <v>341</v>
      </c>
      <c r="E70" s="83" t="s">
        <v>342</v>
      </c>
      <c r="F70" s="83"/>
      <c r="G70" s="83"/>
      <c r="H70" s="83" t="s">
        <v>343</v>
      </c>
      <c r="I70" s="83" t="s">
        <v>21</v>
      </c>
      <c r="J70" s="83">
        <v>79</v>
      </c>
      <c r="K70" s="83" t="s">
        <v>22</v>
      </c>
      <c r="L70" s="83">
        <v>20190306</v>
      </c>
      <c r="M70" s="83"/>
      <c r="N70" s="83"/>
      <c r="O70" s="99">
        <f t="shared" si="1"/>
        <v>81.599999999999994</v>
      </c>
      <c r="Q70" s="83">
        <v>23.91</v>
      </c>
      <c r="R70" s="83">
        <v>1.26</v>
      </c>
      <c r="S70" s="83">
        <v>0.44</v>
      </c>
      <c r="T70" s="83">
        <v>30</v>
      </c>
      <c r="U70" s="83">
        <v>717.2</v>
      </c>
      <c r="V70" s="83"/>
      <c r="W70" s="84">
        <v>29.13333892822266</v>
      </c>
      <c r="X70" s="84">
        <v>27.3397216796875</v>
      </c>
      <c r="Y70" s="84"/>
      <c r="Z70" s="84"/>
      <c r="AA70" s="84">
        <v>26.698147773742679</v>
      </c>
      <c r="AB70" s="84">
        <v>27.24226093292236</v>
      </c>
      <c r="AC70" s="84">
        <v>26.608391761779789</v>
      </c>
      <c r="AD70" s="84">
        <v>26.39357852935791</v>
      </c>
      <c r="AE70" s="84">
        <v>27.647564888000488</v>
      </c>
      <c r="AF70" s="84">
        <v>27.172492027282711</v>
      </c>
      <c r="AG70" s="84">
        <v>39.732629776000977</v>
      </c>
      <c r="AH70" s="84">
        <v>29.59116172790527</v>
      </c>
      <c r="AI70" s="84">
        <v>36.511615753173828</v>
      </c>
      <c r="AJ70" s="84">
        <v>27.295108795166019</v>
      </c>
      <c r="AK70" s="84">
        <v>34.613740921020508</v>
      </c>
      <c r="AL70" s="84">
        <v>27.317411422729489</v>
      </c>
      <c r="AM70" s="84">
        <v>33.212806701660163</v>
      </c>
      <c r="AN70" s="84">
        <v>27.42088603973389</v>
      </c>
      <c r="AO70" s="84">
        <v>35.954822540283203</v>
      </c>
      <c r="AP70" s="84">
        <v>27.163358688354489</v>
      </c>
      <c r="AQ70" s="85"/>
      <c r="AR70" s="84">
        <v>1.793617248535156</v>
      </c>
      <c r="AS70" s="84">
        <v>-0.5441131591796875</v>
      </c>
      <c r="AT70" s="84">
        <v>0.214813232421875</v>
      </c>
      <c r="AU70" s="84">
        <v>0.47507286071777338</v>
      </c>
      <c r="AV70" s="84">
        <v>10.1414680480957</v>
      </c>
      <c r="AW70" s="84">
        <v>9.2165069580078125</v>
      </c>
      <c r="AX70" s="84">
        <v>7.2963294982910156</v>
      </c>
      <c r="AY70" s="84">
        <v>5.7919206619262704</v>
      </c>
      <c r="AZ70" s="84">
        <v>8.7914638519287109</v>
      </c>
      <c r="BA70" s="85"/>
      <c r="BB70" s="83" t="s">
        <v>21</v>
      </c>
      <c r="BC70" s="83">
        <v>81.599999999999994</v>
      </c>
    </row>
    <row r="71" spans="1:55">
      <c r="A71" s="83" t="s">
        <v>214</v>
      </c>
      <c r="B71" s="83">
        <v>44</v>
      </c>
      <c r="C71" s="83">
        <v>44</v>
      </c>
      <c r="D71" s="83" t="s">
        <v>344</v>
      </c>
      <c r="E71" s="83" t="s">
        <v>345</v>
      </c>
      <c r="F71" s="83"/>
      <c r="G71" s="83"/>
      <c r="H71" s="83" t="s">
        <v>346</v>
      </c>
      <c r="I71" s="83" t="s">
        <v>21</v>
      </c>
      <c r="J71" s="83">
        <v>79</v>
      </c>
      <c r="K71" s="83" t="s">
        <v>22</v>
      </c>
      <c r="L71" s="83"/>
      <c r="M71" s="83"/>
      <c r="N71" s="83"/>
      <c r="O71" s="99">
        <f t="shared" si="1"/>
        <v>89.9</v>
      </c>
      <c r="Q71" s="83">
        <v>22.42</v>
      </c>
      <c r="R71" s="83">
        <v>1.26</v>
      </c>
      <c r="S71" s="83">
        <v>0.44</v>
      </c>
      <c r="T71" s="83">
        <v>30</v>
      </c>
      <c r="U71" s="83">
        <v>672.5</v>
      </c>
      <c r="V71" s="83"/>
      <c r="W71" s="84">
        <v>25.414676666259769</v>
      </c>
      <c r="X71" s="84">
        <v>25.679874420166019</v>
      </c>
      <c r="Y71" s="84"/>
      <c r="Z71" s="84"/>
      <c r="AA71" s="84">
        <v>22.428065299987789</v>
      </c>
      <c r="AB71" s="84">
        <v>25.192290306091309</v>
      </c>
      <c r="AC71" s="84">
        <v>24.50631141662598</v>
      </c>
      <c r="AD71" s="84">
        <v>24.734127998352051</v>
      </c>
      <c r="AE71" s="84">
        <v>25.929472923278809</v>
      </c>
      <c r="AF71" s="84">
        <v>25.61754131317139</v>
      </c>
      <c r="AG71" s="84">
        <v>39.608434677124023</v>
      </c>
      <c r="AH71" s="84">
        <v>27.793721199035641</v>
      </c>
      <c r="AI71" s="84">
        <v>32.673654556274407</v>
      </c>
      <c r="AJ71" s="84">
        <v>25.723370552062988</v>
      </c>
      <c r="AK71" s="84">
        <v>32.136770248413093</v>
      </c>
      <c r="AL71" s="84">
        <v>25.804987907409672</v>
      </c>
      <c r="AM71" s="84">
        <v>29.615959167480469</v>
      </c>
      <c r="AN71" s="84">
        <v>25.653286933898929</v>
      </c>
      <c r="AO71" s="84">
        <v>33.11561393737793</v>
      </c>
      <c r="AP71" s="84">
        <v>25.649614334106449</v>
      </c>
      <c r="AQ71" s="85"/>
      <c r="AR71" s="84">
        <v>-0.26519775390625</v>
      </c>
      <c r="AS71" s="84">
        <v>-2.7642250061035161</v>
      </c>
      <c r="AT71" s="84">
        <v>-0.22781658172607419</v>
      </c>
      <c r="AU71" s="84">
        <v>0.31193161010742188</v>
      </c>
      <c r="AV71" s="84">
        <v>11.814713478088381</v>
      </c>
      <c r="AW71" s="84">
        <v>6.9502840042114258</v>
      </c>
      <c r="AX71" s="84">
        <v>6.331782341003418</v>
      </c>
      <c r="AY71" s="84">
        <v>3.962672233581543</v>
      </c>
      <c r="AZ71" s="84">
        <v>7.4659996032714844</v>
      </c>
      <c r="BA71" s="85"/>
      <c r="BB71" s="83" t="s">
        <v>21</v>
      </c>
      <c r="BC71" s="83">
        <v>89.9</v>
      </c>
    </row>
    <row r="72" spans="1:55">
      <c r="A72" s="83" t="s">
        <v>214</v>
      </c>
      <c r="B72" s="83">
        <v>45</v>
      </c>
      <c r="C72" s="83">
        <v>45</v>
      </c>
      <c r="D72" s="83" t="s">
        <v>347</v>
      </c>
      <c r="E72" s="83" t="s">
        <v>348</v>
      </c>
      <c r="F72" s="83"/>
      <c r="G72" s="83"/>
      <c r="H72" s="83" t="s">
        <v>349</v>
      </c>
      <c r="I72" s="83" t="s">
        <v>21</v>
      </c>
      <c r="J72" s="83">
        <v>80</v>
      </c>
      <c r="K72" s="83" t="s">
        <v>22</v>
      </c>
      <c r="L72" s="83">
        <v>20200915</v>
      </c>
      <c r="M72" s="83"/>
      <c r="N72" s="83"/>
      <c r="O72" s="99">
        <f t="shared" si="1"/>
        <v>97.8</v>
      </c>
      <c r="Q72" s="83">
        <v>21.2</v>
      </c>
      <c r="R72" s="83">
        <v>1.28</v>
      </c>
      <c r="S72" s="83">
        <v>0.44</v>
      </c>
      <c r="T72" s="83">
        <v>30</v>
      </c>
      <c r="U72" s="83">
        <v>636</v>
      </c>
      <c r="V72" s="83"/>
      <c r="W72" s="84">
        <v>26.643459320068359</v>
      </c>
      <c r="X72" s="84">
        <v>27.45993804931641</v>
      </c>
      <c r="Y72" s="84"/>
      <c r="Z72" s="84"/>
      <c r="AA72" s="84">
        <v>25.761967658996578</v>
      </c>
      <c r="AB72" s="84">
        <v>27.36146259307861</v>
      </c>
      <c r="AC72" s="84">
        <v>25.795449256896969</v>
      </c>
      <c r="AD72" s="84">
        <v>26.579165458679199</v>
      </c>
      <c r="AE72" s="84">
        <v>26.218052864074711</v>
      </c>
      <c r="AF72" s="84">
        <v>27.064212799072269</v>
      </c>
      <c r="AG72" s="84">
        <v>37.577608108520508</v>
      </c>
      <c r="AH72" s="84">
        <v>29.700656890869141</v>
      </c>
      <c r="AI72" s="84">
        <v>33.586244583129883</v>
      </c>
      <c r="AJ72" s="84">
        <v>27.459466934204102</v>
      </c>
      <c r="AK72" s="84">
        <v>32.138925552368157</v>
      </c>
      <c r="AL72" s="84">
        <v>27.518471717834469</v>
      </c>
      <c r="AM72" s="84">
        <v>30.663676261901859</v>
      </c>
      <c r="AN72" s="84">
        <v>27.378620147705082</v>
      </c>
      <c r="AO72" s="84">
        <v>33.083700180053711</v>
      </c>
      <c r="AP72" s="84">
        <v>27.527919769287109</v>
      </c>
      <c r="AQ72" s="85"/>
      <c r="AR72" s="84">
        <v>-0.81647872924804688</v>
      </c>
      <c r="AS72" s="84">
        <v>-1.599494934082031</v>
      </c>
      <c r="AT72" s="84">
        <v>-0.78371620178222656</v>
      </c>
      <c r="AU72" s="84">
        <v>-0.84615993499755859</v>
      </c>
      <c r="AV72" s="84">
        <v>7.8769512176513672</v>
      </c>
      <c r="AW72" s="84">
        <v>6.1267776489257812</v>
      </c>
      <c r="AX72" s="84">
        <v>4.6204538345336914</v>
      </c>
      <c r="AY72" s="84">
        <v>3.2850561141967769</v>
      </c>
      <c r="AZ72" s="84">
        <v>5.5557804107666016</v>
      </c>
      <c r="BA72" s="85"/>
      <c r="BB72" s="83" t="s">
        <v>21</v>
      </c>
      <c r="BC72" s="83">
        <v>97.8</v>
      </c>
    </row>
    <row r="73" spans="1:55">
      <c r="A73" s="83" t="s">
        <v>214</v>
      </c>
      <c r="B73" s="83">
        <v>46</v>
      </c>
      <c r="C73" s="83">
        <v>46</v>
      </c>
      <c r="D73" s="83" t="s">
        <v>350</v>
      </c>
      <c r="E73" s="83" t="s">
        <v>348</v>
      </c>
      <c r="F73" s="83"/>
      <c r="G73" s="83"/>
      <c r="H73" s="83" t="s">
        <v>351</v>
      </c>
      <c r="I73" s="83" t="s">
        <v>21</v>
      </c>
      <c r="J73" s="83">
        <v>80</v>
      </c>
      <c r="K73" s="83" t="s">
        <v>22</v>
      </c>
      <c r="L73" s="83">
        <v>20200915</v>
      </c>
      <c r="M73" s="83"/>
      <c r="N73" s="83"/>
      <c r="O73" s="99">
        <f t="shared" si="1"/>
        <v>98.9</v>
      </c>
      <c r="Q73" s="83">
        <v>31.26</v>
      </c>
      <c r="R73" s="83">
        <v>1.31</v>
      </c>
      <c r="S73" s="83">
        <v>0.45</v>
      </c>
      <c r="T73" s="83">
        <v>30</v>
      </c>
      <c r="U73" s="83">
        <v>937.9</v>
      </c>
      <c r="V73" s="83"/>
      <c r="W73" s="84">
        <v>26.101544380187988</v>
      </c>
      <c r="X73" s="84">
        <v>27.153841018676761</v>
      </c>
      <c r="Y73" s="84"/>
      <c r="Z73" s="84"/>
      <c r="AA73" s="84">
        <v>25.291172027587891</v>
      </c>
      <c r="AB73" s="84">
        <v>27.049966812133789</v>
      </c>
      <c r="AC73" s="84">
        <v>25.32456111907959</v>
      </c>
      <c r="AD73" s="84">
        <v>26.172940254211429</v>
      </c>
      <c r="AE73" s="84">
        <v>25.744277954101559</v>
      </c>
      <c r="AF73" s="84">
        <v>26.786463737487789</v>
      </c>
      <c r="AG73" s="84">
        <v>36.472028732299798</v>
      </c>
      <c r="AH73" s="84">
        <v>28.903518676757809</v>
      </c>
      <c r="AI73" s="84">
        <v>31.4659423828125</v>
      </c>
      <c r="AJ73" s="84">
        <v>27.299921035766602</v>
      </c>
      <c r="AK73" s="84">
        <v>31.032375335693359</v>
      </c>
      <c r="AL73" s="84">
        <v>27.340609550476071</v>
      </c>
      <c r="AM73" s="84">
        <v>29.495944976806641</v>
      </c>
      <c r="AN73" s="84">
        <v>27.09000301361084</v>
      </c>
      <c r="AO73" s="84">
        <v>33.236164093017578</v>
      </c>
      <c r="AP73" s="84">
        <v>27.344646453857418</v>
      </c>
      <c r="AQ73" s="85"/>
      <c r="AR73" s="84">
        <v>-1.05229663848877</v>
      </c>
      <c r="AS73" s="84">
        <v>-1.758794784545898</v>
      </c>
      <c r="AT73" s="84">
        <v>-0.84837913513183594</v>
      </c>
      <c r="AU73" s="84">
        <v>-1.04218578338623</v>
      </c>
      <c r="AV73" s="84">
        <v>7.5685100555419922</v>
      </c>
      <c r="AW73" s="84">
        <v>4.1660213470458984</v>
      </c>
      <c r="AX73" s="84">
        <v>3.6917657852172852</v>
      </c>
      <c r="AY73" s="84">
        <v>2.4059419631958008</v>
      </c>
      <c r="AZ73" s="84">
        <v>5.8915176391601562</v>
      </c>
      <c r="BA73" s="85"/>
      <c r="BB73" s="83" t="s">
        <v>21</v>
      </c>
      <c r="BC73" s="83">
        <v>98.9</v>
      </c>
    </row>
    <row r="74" spans="1:55">
      <c r="A74" s="83" t="s">
        <v>214</v>
      </c>
      <c r="B74" s="83">
        <v>47</v>
      </c>
      <c r="C74" s="83">
        <v>47</v>
      </c>
      <c r="D74" s="83" t="s">
        <v>352</v>
      </c>
      <c r="E74" s="83" t="s">
        <v>353</v>
      </c>
      <c r="F74" s="83"/>
      <c r="G74" s="83"/>
      <c r="H74" s="83" t="s">
        <v>354</v>
      </c>
      <c r="I74" s="83" t="s">
        <v>21</v>
      </c>
      <c r="J74" s="83">
        <v>80</v>
      </c>
      <c r="K74" s="83" t="s">
        <v>22</v>
      </c>
      <c r="L74" s="83">
        <v>20190909</v>
      </c>
      <c r="M74" s="83"/>
      <c r="N74" s="83"/>
      <c r="O74" s="99">
        <f t="shared" si="1"/>
        <v>99.3</v>
      </c>
      <c r="Q74" s="83">
        <v>20.34</v>
      </c>
      <c r="R74" s="83">
        <v>1.24</v>
      </c>
      <c r="S74" s="83">
        <v>0.43</v>
      </c>
      <c r="T74" s="83">
        <v>30</v>
      </c>
      <c r="U74" s="83">
        <v>610.29999999999995</v>
      </c>
      <c r="V74" s="83"/>
      <c r="W74" s="84">
        <v>25.225398063659672</v>
      </c>
      <c r="X74" s="84">
        <v>26.208621978759769</v>
      </c>
      <c r="Y74" s="84"/>
      <c r="Z74" s="84"/>
      <c r="AA74" s="84">
        <v>24.5392599105835</v>
      </c>
      <c r="AB74" s="84">
        <v>26.184769630432129</v>
      </c>
      <c r="AC74" s="84">
        <v>23.488992691040039</v>
      </c>
      <c r="AD74" s="84">
        <v>25.28455829620361</v>
      </c>
      <c r="AE74" s="84">
        <v>24.282536506652828</v>
      </c>
      <c r="AF74" s="84">
        <v>25.76119327545166</v>
      </c>
      <c r="AG74" s="84">
        <v>35.198535919189453</v>
      </c>
      <c r="AH74" s="84">
        <v>27.984987258911129</v>
      </c>
      <c r="AI74" s="84">
        <v>30.60048866271973</v>
      </c>
      <c r="AJ74" s="84">
        <v>26.337285041809078</v>
      </c>
      <c r="AK74" s="84">
        <v>29.566084861755371</v>
      </c>
      <c r="AL74" s="84">
        <v>26.394511222839359</v>
      </c>
      <c r="AM74" s="84">
        <v>28.749148368835449</v>
      </c>
      <c r="AN74" s="84">
        <v>26.09124755859375</v>
      </c>
      <c r="AO74" s="84">
        <v>32.237949371337891</v>
      </c>
      <c r="AP74" s="84">
        <v>26.271930694580082</v>
      </c>
      <c r="AQ74" s="85"/>
      <c r="AR74" s="84">
        <v>-0.98322391510009766</v>
      </c>
      <c r="AS74" s="84">
        <v>-1.645509719848633</v>
      </c>
      <c r="AT74" s="84">
        <v>-1.795565605163574</v>
      </c>
      <c r="AU74" s="84">
        <v>-1.4786567687988279</v>
      </c>
      <c r="AV74" s="84">
        <v>7.2135486602783203</v>
      </c>
      <c r="AW74" s="84">
        <v>4.2632036209106454</v>
      </c>
      <c r="AX74" s="84">
        <v>3.1715736389160161</v>
      </c>
      <c r="AY74" s="84">
        <v>2.6579008102416992</v>
      </c>
      <c r="AZ74" s="84">
        <v>5.9660186767578116</v>
      </c>
      <c r="BA74" s="85"/>
      <c r="BB74" s="83" t="s">
        <v>21</v>
      </c>
      <c r="BC74" s="83">
        <v>99.3</v>
      </c>
    </row>
    <row r="75" spans="1:55">
      <c r="A75" s="83" t="s">
        <v>214</v>
      </c>
      <c r="B75" s="83">
        <v>48</v>
      </c>
      <c r="C75" s="83">
        <v>48</v>
      </c>
      <c r="D75" s="83" t="s">
        <v>355</v>
      </c>
      <c r="E75" s="83" t="s">
        <v>356</v>
      </c>
      <c r="F75" s="83"/>
      <c r="G75" s="83"/>
      <c r="H75" s="83" t="s">
        <v>357</v>
      </c>
      <c r="I75" s="83" t="s">
        <v>21</v>
      </c>
      <c r="J75" s="83">
        <v>80</v>
      </c>
      <c r="K75" s="83" t="s">
        <v>22</v>
      </c>
      <c r="L75" s="83">
        <v>20190930</v>
      </c>
      <c r="M75" s="83"/>
      <c r="N75" s="83"/>
      <c r="O75" s="99">
        <f t="shared" si="1"/>
        <v>99.5</v>
      </c>
      <c r="Q75" s="83">
        <v>16.11</v>
      </c>
      <c r="R75" s="83">
        <v>1.17</v>
      </c>
      <c r="S75" s="83">
        <v>0.4</v>
      </c>
      <c r="T75" s="83">
        <v>30</v>
      </c>
      <c r="U75" s="83">
        <v>483.4</v>
      </c>
      <c r="V75" s="83"/>
      <c r="W75" s="84">
        <v>25.688661575317379</v>
      </c>
      <c r="X75" s="84">
        <v>26.61301231384277</v>
      </c>
      <c r="Y75" s="84"/>
      <c r="Z75" s="84"/>
      <c r="AA75" s="84">
        <v>24.905583381652828</v>
      </c>
      <c r="AB75" s="84">
        <v>26.48967170715332</v>
      </c>
      <c r="AC75" s="84">
        <v>22.48099517822266</v>
      </c>
      <c r="AD75" s="84">
        <v>26.042512893676761</v>
      </c>
      <c r="AE75" s="84">
        <v>23.672494888305661</v>
      </c>
      <c r="AF75" s="84">
        <v>25.953098297119141</v>
      </c>
      <c r="AG75" s="84">
        <v>34.743715286254883</v>
      </c>
      <c r="AH75" s="84">
        <v>28.414133071899411</v>
      </c>
      <c r="AI75" s="84">
        <v>31.575007438659672</v>
      </c>
      <c r="AJ75" s="84">
        <v>26.821245193481449</v>
      </c>
      <c r="AK75" s="84">
        <v>29.71134090423584</v>
      </c>
      <c r="AL75" s="84">
        <v>26.818918228149411</v>
      </c>
      <c r="AM75" s="84">
        <v>29.407758712768551</v>
      </c>
      <c r="AN75" s="84">
        <v>26.61119174957275</v>
      </c>
      <c r="AO75" s="84">
        <v>31.661802291870121</v>
      </c>
      <c r="AP75" s="84">
        <v>26.576994895935059</v>
      </c>
      <c r="AQ75" s="85"/>
      <c r="AR75" s="84">
        <v>-0.92435073852539062</v>
      </c>
      <c r="AS75" s="84">
        <v>-1.5840883255004881</v>
      </c>
      <c r="AT75" s="84">
        <v>-3.561517715454102</v>
      </c>
      <c r="AU75" s="84">
        <v>-2.280603408813477</v>
      </c>
      <c r="AV75" s="84">
        <v>6.3295822143554688</v>
      </c>
      <c r="AW75" s="84">
        <v>4.7537622451782227</v>
      </c>
      <c r="AX75" s="84">
        <v>2.8924226760864258</v>
      </c>
      <c r="AY75" s="84">
        <v>2.7965669631958008</v>
      </c>
      <c r="AZ75" s="84">
        <v>5.0848073959350586</v>
      </c>
      <c r="BA75" s="85"/>
      <c r="BB75" s="83" t="s">
        <v>21</v>
      </c>
      <c r="BC75" s="83">
        <v>99.5</v>
      </c>
    </row>
    <row r="76" spans="1:55">
      <c r="A76" s="83" t="s">
        <v>214</v>
      </c>
      <c r="B76" s="83">
        <v>49</v>
      </c>
      <c r="C76" s="83">
        <v>49</v>
      </c>
      <c r="D76" s="83" t="s">
        <v>358</v>
      </c>
      <c r="E76" s="83" t="s">
        <v>359</v>
      </c>
      <c r="F76" s="83"/>
      <c r="G76" s="83"/>
      <c r="H76" s="83" t="s">
        <v>360</v>
      </c>
      <c r="I76" s="83" t="s">
        <v>21</v>
      </c>
      <c r="J76" s="83">
        <v>81</v>
      </c>
      <c r="K76" s="83" t="s">
        <v>22</v>
      </c>
      <c r="L76" s="83">
        <v>20191104</v>
      </c>
      <c r="M76" s="83"/>
      <c r="N76" s="83"/>
      <c r="O76" s="99">
        <f t="shared" si="1"/>
        <v>98.7</v>
      </c>
      <c r="Q76" s="83">
        <v>13.59</v>
      </c>
      <c r="R76" s="83">
        <v>1.1499999999999999</v>
      </c>
      <c r="S76" s="83">
        <v>0.4</v>
      </c>
      <c r="T76" s="83">
        <v>30</v>
      </c>
      <c r="U76" s="83">
        <v>407.6</v>
      </c>
      <c r="V76" s="83"/>
      <c r="W76" s="84">
        <v>26.516446113586429</v>
      </c>
      <c r="X76" s="84">
        <v>28.288240432739261</v>
      </c>
      <c r="Y76" s="84"/>
      <c r="Z76" s="84"/>
      <c r="AA76" s="84">
        <v>25.602619171142582</v>
      </c>
      <c r="AB76" s="84">
        <v>28.117401123046879</v>
      </c>
      <c r="AC76" s="84">
        <v>27.46225643157959</v>
      </c>
      <c r="AD76" s="84">
        <v>27.50078201293945</v>
      </c>
      <c r="AE76" s="84">
        <v>25.837055206298832</v>
      </c>
      <c r="AF76" s="84">
        <v>27.864261627197269</v>
      </c>
      <c r="AG76" s="84">
        <v>37.566448211669922</v>
      </c>
      <c r="AH76" s="84">
        <v>30.1303243637085</v>
      </c>
      <c r="AI76" s="84">
        <v>31.95660495758057</v>
      </c>
      <c r="AJ76" s="84">
        <v>28.517661094665531</v>
      </c>
      <c r="AK76" s="84">
        <v>32.413198471069343</v>
      </c>
      <c r="AL76" s="84">
        <v>28.579584121704102</v>
      </c>
      <c r="AM76" s="84">
        <v>29.75322151184082</v>
      </c>
      <c r="AN76" s="84">
        <v>28.06233024597168</v>
      </c>
      <c r="AO76" s="84">
        <v>33.09185791015625</v>
      </c>
      <c r="AP76" s="84">
        <v>28.44895076751709</v>
      </c>
      <c r="AQ76" s="85"/>
      <c r="AR76" s="84">
        <v>-1.771794319152832</v>
      </c>
      <c r="AS76" s="84">
        <v>-2.5147819519042969</v>
      </c>
      <c r="AT76" s="84">
        <v>-3.8525581359863281E-2</v>
      </c>
      <c r="AU76" s="84">
        <v>-2.0272064208984379</v>
      </c>
      <c r="AV76" s="84">
        <v>7.4361238479614258</v>
      </c>
      <c r="AW76" s="84">
        <v>3.4389438629150391</v>
      </c>
      <c r="AX76" s="84">
        <v>3.8336143493652339</v>
      </c>
      <c r="AY76" s="84">
        <v>1.6908912658691411</v>
      </c>
      <c r="AZ76" s="84">
        <v>4.6429071426391602</v>
      </c>
      <c r="BA76" s="85"/>
      <c r="BB76" s="83" t="s">
        <v>21</v>
      </c>
      <c r="BC76" s="83">
        <v>98.7</v>
      </c>
    </row>
    <row r="77" spans="1:55">
      <c r="A77" s="83" t="s">
        <v>214</v>
      </c>
      <c r="B77" s="83">
        <v>50</v>
      </c>
      <c r="C77" s="83">
        <v>50</v>
      </c>
      <c r="D77" s="83" t="s">
        <v>361</v>
      </c>
      <c r="E77" s="83" t="s">
        <v>362</v>
      </c>
      <c r="F77" s="83"/>
      <c r="G77" s="83"/>
      <c r="H77" s="83" t="s">
        <v>363</v>
      </c>
      <c r="I77" s="83" t="s">
        <v>21</v>
      </c>
      <c r="J77" s="83">
        <v>81</v>
      </c>
      <c r="K77" s="83" t="s">
        <v>22</v>
      </c>
      <c r="L77" s="83">
        <v>20201201</v>
      </c>
      <c r="M77" s="83"/>
      <c r="N77" s="83"/>
      <c r="O77" s="99">
        <f t="shared" si="1"/>
        <v>98.1</v>
      </c>
      <c r="Q77" s="83">
        <v>14.4</v>
      </c>
      <c r="R77" s="83">
        <v>1.1499999999999999</v>
      </c>
      <c r="S77" s="83">
        <v>0.38</v>
      </c>
      <c r="T77" s="83">
        <v>30</v>
      </c>
      <c r="U77" s="83">
        <v>431.9</v>
      </c>
      <c r="V77" s="83"/>
      <c r="W77" s="84">
        <v>26.821391105651859</v>
      </c>
      <c r="X77" s="84">
        <v>26.991104125976559</v>
      </c>
      <c r="Y77" s="84"/>
      <c r="Z77" s="84"/>
      <c r="AA77" s="84">
        <v>25.840207099914551</v>
      </c>
      <c r="AB77" s="84">
        <v>26.961641311645511</v>
      </c>
      <c r="AC77" s="84">
        <v>25.989726066589359</v>
      </c>
      <c r="AD77" s="84">
        <v>26.023260116577148</v>
      </c>
      <c r="AE77" s="84">
        <v>25.285197257995609</v>
      </c>
      <c r="AF77" s="84">
        <v>26.50202465057373</v>
      </c>
      <c r="AG77" s="84">
        <v>36.836746215820312</v>
      </c>
      <c r="AH77" s="84">
        <v>28.851534843444821</v>
      </c>
      <c r="AI77" s="84">
        <v>33.253377914428711</v>
      </c>
      <c r="AJ77" s="84">
        <v>27.085982322692871</v>
      </c>
      <c r="AK77" s="84">
        <v>30.905025482177731</v>
      </c>
      <c r="AL77" s="84">
        <v>27.04371356964111</v>
      </c>
      <c r="AM77" s="84">
        <v>30.97235202789307</v>
      </c>
      <c r="AN77" s="84">
        <v>27.022563934326168</v>
      </c>
      <c r="AO77" s="84">
        <v>32.787406921386719</v>
      </c>
      <c r="AP77" s="84">
        <v>27.15701961517334</v>
      </c>
      <c r="AQ77" s="85"/>
      <c r="AR77" s="84">
        <v>-0.169713020324707</v>
      </c>
      <c r="AS77" s="84">
        <v>-1.121434211730957</v>
      </c>
      <c r="AT77" s="84">
        <v>-3.3534049987792969E-2</v>
      </c>
      <c r="AU77" s="84">
        <v>-1.216827392578125</v>
      </c>
      <c r="AV77" s="84">
        <v>7.9852113723754883</v>
      </c>
      <c r="AW77" s="84">
        <v>6.1673955917358398</v>
      </c>
      <c r="AX77" s="84">
        <v>3.8613119125366211</v>
      </c>
      <c r="AY77" s="84">
        <v>3.949788093566895</v>
      </c>
      <c r="AZ77" s="84">
        <v>5.6303873062133789</v>
      </c>
      <c r="BA77" s="85"/>
      <c r="BB77" s="83" t="s">
        <v>21</v>
      </c>
      <c r="BC77" s="83">
        <v>98.1</v>
      </c>
    </row>
    <row r="78" spans="1:55">
      <c r="A78" s="83" t="s">
        <v>214</v>
      </c>
      <c r="B78" s="83">
        <v>51</v>
      </c>
      <c r="C78" s="83">
        <v>51</v>
      </c>
      <c r="D78" s="83" t="s">
        <v>364</v>
      </c>
      <c r="E78" s="83" t="s">
        <v>365</v>
      </c>
      <c r="F78" s="83"/>
      <c r="G78" s="83"/>
      <c r="H78" s="83" t="s">
        <v>366</v>
      </c>
      <c r="I78" s="83" t="s">
        <v>21</v>
      </c>
      <c r="J78" s="83">
        <v>86</v>
      </c>
      <c r="K78" s="83" t="s">
        <v>22</v>
      </c>
      <c r="L78" s="83">
        <v>20200921</v>
      </c>
      <c r="M78" s="83"/>
      <c r="N78" s="83"/>
      <c r="O78" s="99">
        <f t="shared" si="1"/>
        <v>89.1</v>
      </c>
      <c r="Q78" s="83">
        <v>10.59</v>
      </c>
      <c r="R78" s="83">
        <v>1.1100000000000001</v>
      </c>
      <c r="S78" s="83">
        <v>0.38</v>
      </c>
      <c r="T78" s="83">
        <v>30</v>
      </c>
      <c r="U78" s="83">
        <v>317.7</v>
      </c>
      <c r="V78" s="83"/>
      <c r="W78" s="84">
        <v>29.496500968933109</v>
      </c>
      <c r="X78" s="84">
        <v>26.406711578369141</v>
      </c>
      <c r="Y78" s="84"/>
      <c r="Z78" s="84"/>
      <c r="AA78" s="84">
        <v>27.31478118896484</v>
      </c>
      <c r="AB78" s="84">
        <v>26.415424346923832</v>
      </c>
      <c r="AC78" s="84">
        <v>27.872895240783691</v>
      </c>
      <c r="AD78" s="84">
        <v>25.83604717254639</v>
      </c>
      <c r="AE78" s="84">
        <v>25.665621757507321</v>
      </c>
      <c r="AF78" s="84">
        <v>25.962066650390621</v>
      </c>
      <c r="AG78" s="84">
        <v>38.999176025390618</v>
      </c>
      <c r="AH78" s="84">
        <v>27.974127769470211</v>
      </c>
      <c r="AI78" s="84">
        <v>36.526407241821289</v>
      </c>
      <c r="AJ78" s="84">
        <v>26.44954872131348</v>
      </c>
      <c r="AK78" s="84">
        <v>30.97592830657959</v>
      </c>
      <c r="AL78" s="84">
        <v>26.386905670166019</v>
      </c>
      <c r="AM78" s="84">
        <v>33.121700286865227</v>
      </c>
      <c r="AN78" s="84">
        <v>26.497135162353519</v>
      </c>
      <c r="AO78" s="84">
        <v>34.896577835083008</v>
      </c>
      <c r="AP78" s="84">
        <v>26.512008666992191</v>
      </c>
      <c r="AQ78" s="85"/>
      <c r="AR78" s="84">
        <v>3.0897893905639648</v>
      </c>
      <c r="AS78" s="84">
        <v>0.89935684204101562</v>
      </c>
      <c r="AT78" s="84">
        <v>2.0368480682373051</v>
      </c>
      <c r="AU78" s="84">
        <v>-0.29644489288330078</v>
      </c>
      <c r="AV78" s="84">
        <v>11.02504825592041</v>
      </c>
      <c r="AW78" s="84">
        <v>10.076858520507811</v>
      </c>
      <c r="AX78" s="84">
        <v>4.5890226364135742</v>
      </c>
      <c r="AY78" s="84">
        <v>6.6245651245117188</v>
      </c>
      <c r="AZ78" s="84">
        <v>8.3845691680908203</v>
      </c>
      <c r="BA78" s="85"/>
      <c r="BB78" s="83" t="s">
        <v>21</v>
      </c>
      <c r="BC78" s="83">
        <v>89.1</v>
      </c>
    </row>
    <row r="79" spans="1:55">
      <c r="A79" s="83" t="s">
        <v>214</v>
      </c>
      <c r="B79" s="83">
        <v>52</v>
      </c>
      <c r="C79" s="83">
        <v>52</v>
      </c>
      <c r="D79" s="83" t="s">
        <v>367</v>
      </c>
      <c r="E79" s="83" t="s">
        <v>368</v>
      </c>
      <c r="F79" s="83"/>
      <c r="G79" s="83"/>
      <c r="H79" s="83" t="s">
        <v>369</v>
      </c>
      <c r="I79" s="83" t="s">
        <v>21</v>
      </c>
      <c r="J79" s="83">
        <v>86</v>
      </c>
      <c r="K79" s="83" t="s">
        <v>22</v>
      </c>
      <c r="L79" s="83">
        <v>20201007</v>
      </c>
      <c r="M79" s="83"/>
      <c r="N79" s="83"/>
      <c r="O79" s="99">
        <f t="shared" si="1"/>
        <v>99.8</v>
      </c>
      <c r="Q79" s="83">
        <v>14.9</v>
      </c>
      <c r="R79" s="83">
        <v>1.1599999999999999</v>
      </c>
      <c r="S79" s="83">
        <v>0.4</v>
      </c>
      <c r="T79" s="83">
        <v>30</v>
      </c>
      <c r="U79" s="83">
        <v>447</v>
      </c>
      <c r="V79" s="83"/>
      <c r="W79" s="84">
        <v>26.895357131958011</v>
      </c>
      <c r="X79" s="84">
        <v>27.718328475952148</v>
      </c>
      <c r="Y79" s="84"/>
      <c r="Z79" s="84"/>
      <c r="AA79" s="84">
        <v>26.131719589233398</v>
      </c>
      <c r="AB79" s="84">
        <v>27.606196403503422</v>
      </c>
      <c r="AC79" s="84">
        <v>24.385160446166989</v>
      </c>
      <c r="AD79" s="84">
        <v>26.909378051757809</v>
      </c>
      <c r="AE79" s="84">
        <v>24.61439228057861</v>
      </c>
      <c r="AF79" s="84">
        <v>26.922468185424801</v>
      </c>
      <c r="AG79" s="84">
        <v>34.896053314208977</v>
      </c>
      <c r="AH79" s="84">
        <v>29.516383171081539</v>
      </c>
      <c r="AI79" s="84">
        <v>33.11640739440918</v>
      </c>
      <c r="AJ79" s="84">
        <v>27.76392841339111</v>
      </c>
      <c r="AK79" s="84">
        <v>29.257876396179199</v>
      </c>
      <c r="AL79" s="84">
        <v>27.72772216796875</v>
      </c>
      <c r="AM79" s="84">
        <v>30.308712959289551</v>
      </c>
      <c r="AN79" s="84">
        <v>27.488715171813961</v>
      </c>
      <c r="AO79" s="84">
        <v>31.76475620269775</v>
      </c>
      <c r="AP79" s="84">
        <v>27.632967948913571</v>
      </c>
      <c r="AQ79" s="85"/>
      <c r="AR79" s="84">
        <v>-0.82297134399414062</v>
      </c>
      <c r="AS79" s="84">
        <v>-1.47447681427002</v>
      </c>
      <c r="AT79" s="84">
        <v>-2.5242176055908199</v>
      </c>
      <c r="AU79" s="84">
        <v>-2.308075904846191</v>
      </c>
      <c r="AV79" s="84">
        <v>5.3796701431274414</v>
      </c>
      <c r="AW79" s="84">
        <v>5.3524789810180664</v>
      </c>
      <c r="AX79" s="84">
        <v>1.530154228210449</v>
      </c>
      <c r="AY79" s="84">
        <v>2.8199977874755859</v>
      </c>
      <c r="AZ79" s="84">
        <v>4.1317882537841797</v>
      </c>
      <c r="BA79" s="85"/>
      <c r="BB79" s="83" t="s">
        <v>21</v>
      </c>
      <c r="BC79" s="83">
        <v>99.8</v>
      </c>
    </row>
    <row r="80" spans="1:55">
      <c r="A80" s="83" t="s">
        <v>214</v>
      </c>
      <c r="B80" s="83">
        <v>53</v>
      </c>
      <c r="C80" s="83">
        <v>53</v>
      </c>
      <c r="D80" s="83" t="s">
        <v>370</v>
      </c>
      <c r="E80" s="83" t="s">
        <v>368</v>
      </c>
      <c r="F80" s="83"/>
      <c r="G80" s="83"/>
      <c r="H80" s="83" t="s">
        <v>371</v>
      </c>
      <c r="I80" s="83" t="s">
        <v>21</v>
      </c>
      <c r="J80" s="83">
        <v>86</v>
      </c>
      <c r="K80" s="83" t="s">
        <v>22</v>
      </c>
      <c r="L80" s="83">
        <v>20201007</v>
      </c>
      <c r="M80" s="83"/>
      <c r="N80" s="83"/>
      <c r="O80" s="99">
        <f t="shared" si="1"/>
        <v>99.4</v>
      </c>
      <c r="Q80" s="83">
        <v>12.64</v>
      </c>
      <c r="R80" s="83">
        <v>1.1200000000000001</v>
      </c>
      <c r="S80" s="83">
        <v>0.38</v>
      </c>
      <c r="T80" s="83">
        <v>30</v>
      </c>
      <c r="U80" s="83">
        <v>379.1</v>
      </c>
      <c r="V80" s="83"/>
      <c r="W80" s="84">
        <v>26.005361557006839</v>
      </c>
      <c r="X80" s="84">
        <v>26.826436042785641</v>
      </c>
      <c r="Y80" s="84"/>
      <c r="Z80" s="84"/>
      <c r="AA80" s="84">
        <v>25.293299674987789</v>
      </c>
      <c r="AB80" s="84">
        <v>26.777139663696289</v>
      </c>
      <c r="AC80" s="84">
        <v>24.776265144348141</v>
      </c>
      <c r="AD80" s="84">
        <v>25.907210350036621</v>
      </c>
      <c r="AE80" s="84">
        <v>24.236943244934078</v>
      </c>
      <c r="AF80" s="84">
        <v>26.184195518493649</v>
      </c>
      <c r="AG80" s="84">
        <v>35.371438980102539</v>
      </c>
      <c r="AH80" s="84">
        <v>28.647014617919918</v>
      </c>
      <c r="AI80" s="84">
        <v>32.061191558837891</v>
      </c>
      <c r="AJ80" s="84">
        <v>26.9402961730957</v>
      </c>
      <c r="AK80" s="84">
        <v>29.740792274475101</v>
      </c>
      <c r="AL80" s="84">
        <v>26.923244476318359</v>
      </c>
      <c r="AM80" s="84">
        <v>29.422061920166019</v>
      </c>
      <c r="AN80" s="84">
        <v>26.686908721923832</v>
      </c>
      <c r="AO80" s="84">
        <v>32.158210754394531</v>
      </c>
      <c r="AP80" s="84">
        <v>26.86098480224609</v>
      </c>
      <c r="AQ80" s="85"/>
      <c r="AR80" s="84">
        <v>-0.82107448577880859</v>
      </c>
      <c r="AS80" s="84">
        <v>-1.4838399887084961</v>
      </c>
      <c r="AT80" s="84">
        <v>-1.130945205688477</v>
      </c>
      <c r="AU80" s="84">
        <v>-1.9472522735595701</v>
      </c>
      <c r="AV80" s="84">
        <v>6.7244243621826172</v>
      </c>
      <c r="AW80" s="84">
        <v>5.1208953857421884</v>
      </c>
      <c r="AX80" s="84">
        <v>2.8175477981567378</v>
      </c>
      <c r="AY80" s="84">
        <v>2.7351531982421879</v>
      </c>
      <c r="AZ80" s="84">
        <v>5.2972259521484384</v>
      </c>
      <c r="BA80" s="85"/>
      <c r="BB80" s="83" t="s">
        <v>21</v>
      </c>
      <c r="BC80" s="83">
        <v>99.4</v>
      </c>
    </row>
    <row r="81" spans="1:55">
      <c r="A81" s="83" t="s">
        <v>214</v>
      </c>
      <c r="B81" s="83">
        <v>54</v>
      </c>
      <c r="C81" s="83">
        <v>54</v>
      </c>
      <c r="D81" s="83" t="s">
        <v>372</v>
      </c>
      <c r="E81" s="83" t="s">
        <v>373</v>
      </c>
      <c r="F81" s="83"/>
      <c r="G81" s="83"/>
      <c r="H81" s="83" t="s">
        <v>374</v>
      </c>
      <c r="I81" s="83" t="s">
        <v>21</v>
      </c>
      <c r="J81" s="83">
        <v>86</v>
      </c>
      <c r="K81" s="83" t="s">
        <v>22</v>
      </c>
      <c r="L81" s="83">
        <v>20200908</v>
      </c>
      <c r="M81" s="83"/>
      <c r="N81" s="83"/>
      <c r="O81" s="99">
        <f t="shared" si="1"/>
        <v>96</v>
      </c>
      <c r="Q81" s="83">
        <v>10.43</v>
      </c>
      <c r="R81" s="83">
        <v>1.08</v>
      </c>
      <c r="S81" s="83">
        <v>0.36</v>
      </c>
      <c r="T81" s="83">
        <v>30</v>
      </c>
      <c r="U81" s="83">
        <v>313</v>
      </c>
      <c r="V81" s="83"/>
      <c r="W81" s="84">
        <v>28.327435493469238</v>
      </c>
      <c r="X81" s="84">
        <v>26.247549057006839</v>
      </c>
      <c r="Y81" s="84"/>
      <c r="Z81" s="84"/>
      <c r="AA81" s="84">
        <v>26.56649017333984</v>
      </c>
      <c r="AB81" s="84">
        <v>26.24757194519043</v>
      </c>
      <c r="AC81" s="84">
        <v>24.891719818115231</v>
      </c>
      <c r="AD81" s="84">
        <v>25.180452346801761</v>
      </c>
      <c r="AE81" s="84">
        <v>25.036520957946781</v>
      </c>
      <c r="AF81" s="84">
        <v>25.876102447509769</v>
      </c>
      <c r="AG81" s="84">
        <v>35.771892547607422</v>
      </c>
      <c r="AH81" s="84">
        <v>27.95671272277832</v>
      </c>
      <c r="AI81" s="84">
        <v>34.165523529052727</v>
      </c>
      <c r="AJ81" s="84">
        <v>26.19402980804443</v>
      </c>
      <c r="AK81" s="84">
        <v>30.785367012023929</v>
      </c>
      <c r="AL81" s="84">
        <v>26.20649242401123</v>
      </c>
      <c r="AM81" s="84">
        <v>31.892631530761719</v>
      </c>
      <c r="AN81" s="84">
        <v>26.232865333557129</v>
      </c>
      <c r="AO81" s="84">
        <v>32.78959846496582</v>
      </c>
      <c r="AP81" s="84">
        <v>26.227645874023441</v>
      </c>
      <c r="AQ81" s="85"/>
      <c r="AR81" s="84">
        <v>2.0798864364624019</v>
      </c>
      <c r="AS81" s="84">
        <v>0.31891822814941412</v>
      </c>
      <c r="AT81" s="84">
        <v>-0.28873252868652338</v>
      </c>
      <c r="AU81" s="84">
        <v>-0.83958148956298828</v>
      </c>
      <c r="AV81" s="84">
        <v>7.8151798248291016</v>
      </c>
      <c r="AW81" s="84">
        <v>7.9714937210083008</v>
      </c>
      <c r="AX81" s="84">
        <v>4.5788745880126953</v>
      </c>
      <c r="AY81" s="84">
        <v>5.6597661972045898</v>
      </c>
      <c r="AZ81" s="84">
        <v>6.5619525909423828</v>
      </c>
      <c r="BA81" s="85"/>
      <c r="BB81" s="83" t="s">
        <v>21</v>
      </c>
      <c r="BC81" s="83">
        <v>96</v>
      </c>
    </row>
    <row r="82" spans="1:55">
      <c r="A82" s="83" t="s">
        <v>214</v>
      </c>
      <c r="B82" s="83">
        <v>55</v>
      </c>
      <c r="C82" s="83">
        <v>55</v>
      </c>
      <c r="D82" s="83" t="s">
        <v>375</v>
      </c>
      <c r="E82" s="83" t="s">
        <v>373</v>
      </c>
      <c r="F82" s="83"/>
      <c r="G82" s="83"/>
      <c r="H82" s="83" t="s">
        <v>376</v>
      </c>
      <c r="I82" s="83" t="s">
        <v>21</v>
      </c>
      <c r="J82" s="83">
        <v>86</v>
      </c>
      <c r="K82" s="83" t="s">
        <v>22</v>
      </c>
      <c r="L82" s="83">
        <v>20200908</v>
      </c>
      <c r="M82" s="83"/>
      <c r="N82" s="83"/>
      <c r="O82" s="99">
        <f t="shared" si="1"/>
        <v>91.7</v>
      </c>
      <c r="Q82" s="83">
        <v>11.02</v>
      </c>
      <c r="R82" s="83">
        <v>1.1200000000000001</v>
      </c>
      <c r="S82" s="83">
        <v>0.38</v>
      </c>
      <c r="T82" s="83">
        <v>30</v>
      </c>
      <c r="U82" s="83">
        <v>330.6</v>
      </c>
      <c r="V82" s="83"/>
      <c r="W82" s="84">
        <v>24.490371704101559</v>
      </c>
      <c r="X82" s="84">
        <v>25.013241767883301</v>
      </c>
      <c r="Y82" s="84"/>
      <c r="Z82" s="84"/>
      <c r="AA82" s="84">
        <v>23.78284931182861</v>
      </c>
      <c r="AB82" s="84">
        <v>24.974966049194339</v>
      </c>
      <c r="AC82" s="84">
        <v>25.70152378082275</v>
      </c>
      <c r="AD82" s="84">
        <v>24.37877368927002</v>
      </c>
      <c r="AE82" s="84">
        <v>24.494132041931149</v>
      </c>
      <c r="AF82" s="84">
        <v>24.797652244567871</v>
      </c>
      <c r="AG82" s="84">
        <v>35.482463836669922</v>
      </c>
      <c r="AH82" s="84">
        <v>26.870535850524899</v>
      </c>
      <c r="AI82" s="84">
        <v>30.617714881896969</v>
      </c>
      <c r="AJ82" s="84">
        <v>25.02413272857666</v>
      </c>
      <c r="AK82" s="84">
        <v>31.203195571899411</v>
      </c>
      <c r="AL82" s="84">
        <v>25.048629760742191</v>
      </c>
      <c r="AM82" s="84">
        <v>28.012974739074711</v>
      </c>
      <c r="AN82" s="84">
        <v>24.904837608337399</v>
      </c>
      <c r="AO82" s="84">
        <v>31.877079963684078</v>
      </c>
      <c r="AP82" s="84">
        <v>25.185965538024899</v>
      </c>
      <c r="AQ82" s="85"/>
      <c r="AR82" s="84">
        <v>-0.52287006378173828</v>
      </c>
      <c r="AS82" s="84">
        <v>-1.1921167373657231</v>
      </c>
      <c r="AT82" s="84">
        <v>1.3227500915527339</v>
      </c>
      <c r="AU82" s="84">
        <v>-0.30352020263671881</v>
      </c>
      <c r="AV82" s="84">
        <v>8.6119279861450195</v>
      </c>
      <c r="AW82" s="84">
        <v>5.5935821533203116</v>
      </c>
      <c r="AX82" s="84">
        <v>6.1545658111572266</v>
      </c>
      <c r="AY82" s="84">
        <v>3.1081371307373051</v>
      </c>
      <c r="AZ82" s="84">
        <v>6.6911144256591797</v>
      </c>
      <c r="BA82" s="85"/>
      <c r="BB82" s="83" t="s">
        <v>21</v>
      </c>
      <c r="BC82" s="83">
        <v>91.7</v>
      </c>
    </row>
    <row r="83" spans="1:55">
      <c r="A83" s="83" t="s">
        <v>214</v>
      </c>
      <c r="B83" s="83">
        <v>56</v>
      </c>
      <c r="C83" s="83">
        <v>56</v>
      </c>
      <c r="D83" s="83" t="s">
        <v>377</v>
      </c>
      <c r="E83" s="83" t="s">
        <v>378</v>
      </c>
      <c r="F83" s="83"/>
      <c r="G83" s="83"/>
      <c r="H83" s="83" t="s">
        <v>379</v>
      </c>
      <c r="I83" s="83" t="s">
        <v>21</v>
      </c>
      <c r="J83" s="83">
        <v>88</v>
      </c>
      <c r="K83" s="83" t="s">
        <v>22</v>
      </c>
      <c r="L83" s="83">
        <v>20201118</v>
      </c>
      <c r="M83" s="83"/>
      <c r="N83" s="83"/>
      <c r="O83" s="99">
        <f t="shared" si="1"/>
        <v>90.4</v>
      </c>
      <c r="Q83" s="83">
        <v>11.65</v>
      </c>
      <c r="R83" s="83">
        <v>1.1299999999999999</v>
      </c>
      <c r="S83" s="83">
        <v>0.37</v>
      </c>
      <c r="T83" s="83">
        <v>30</v>
      </c>
      <c r="U83" s="83">
        <v>349.5</v>
      </c>
      <c r="V83" s="83"/>
      <c r="W83" s="84">
        <v>28.860270500183109</v>
      </c>
      <c r="X83" s="84">
        <v>27.751143455505371</v>
      </c>
      <c r="Y83" s="84"/>
      <c r="Z83" s="84"/>
      <c r="AA83" s="84">
        <v>26.95523643493652</v>
      </c>
      <c r="AB83" s="84">
        <v>27.51889801025391</v>
      </c>
      <c r="AC83" s="84">
        <v>27.096096992492679</v>
      </c>
      <c r="AD83" s="84">
        <v>26.567360877990719</v>
      </c>
      <c r="AE83" s="84">
        <v>25.966483116149899</v>
      </c>
      <c r="AF83" s="84">
        <v>26.96486663818359</v>
      </c>
      <c r="AG83" s="84">
        <v>39.4541015625</v>
      </c>
      <c r="AH83" s="84">
        <v>29.430658340454102</v>
      </c>
      <c r="AI83" s="84">
        <v>34.684263229370117</v>
      </c>
      <c r="AJ83" s="84">
        <v>27.562983512878422</v>
      </c>
      <c r="AK83" s="84">
        <v>32.667976379394531</v>
      </c>
      <c r="AL83" s="84">
        <v>27.378293991088871</v>
      </c>
      <c r="AM83" s="84">
        <v>31.712201118469238</v>
      </c>
      <c r="AN83" s="84">
        <v>27.523138999938961</v>
      </c>
      <c r="AO83" s="84">
        <v>34.96052360534668</v>
      </c>
      <c r="AP83" s="84">
        <v>27.930058479309078</v>
      </c>
      <c r="AQ83" s="85"/>
      <c r="AR83" s="84">
        <v>1.1091270446777339</v>
      </c>
      <c r="AS83" s="84">
        <v>-0.56366157531738281</v>
      </c>
      <c r="AT83" s="84">
        <v>0.52873611450195312</v>
      </c>
      <c r="AU83" s="84">
        <v>-0.99838352203369141</v>
      </c>
      <c r="AV83" s="84">
        <v>10.0234432220459</v>
      </c>
      <c r="AW83" s="84">
        <v>7.1212797164916992</v>
      </c>
      <c r="AX83" s="84">
        <v>5.2896823883056641</v>
      </c>
      <c r="AY83" s="84">
        <v>4.1890621185302734</v>
      </c>
      <c r="AZ83" s="84">
        <v>7.0304651260375977</v>
      </c>
      <c r="BA83" s="85"/>
      <c r="BB83" s="83" t="s">
        <v>21</v>
      </c>
      <c r="BC83" s="83">
        <v>90.4</v>
      </c>
    </row>
    <row r="84" spans="1:55">
      <c r="A84" s="83" t="s">
        <v>214</v>
      </c>
      <c r="B84" s="83">
        <v>57</v>
      </c>
      <c r="C84" s="83">
        <v>57</v>
      </c>
      <c r="D84" s="83" t="s">
        <v>380</v>
      </c>
      <c r="E84" s="83" t="s">
        <v>378</v>
      </c>
      <c r="F84" s="83"/>
      <c r="G84" s="83"/>
      <c r="H84" s="83" t="s">
        <v>381</v>
      </c>
      <c r="I84" s="83" t="s">
        <v>21</v>
      </c>
      <c r="J84" s="83">
        <v>88</v>
      </c>
      <c r="K84" s="83" t="s">
        <v>22</v>
      </c>
      <c r="L84" s="83">
        <v>20201118</v>
      </c>
      <c r="M84" s="83"/>
      <c r="N84" s="83"/>
      <c r="O84" s="99">
        <f t="shared" si="1"/>
        <v>84.3</v>
      </c>
      <c r="Q84" s="83">
        <v>17.87</v>
      </c>
      <c r="R84" s="83">
        <v>1.19</v>
      </c>
      <c r="S84" s="83">
        <v>0.4</v>
      </c>
      <c r="T84" s="83">
        <v>30</v>
      </c>
      <c r="U84" s="83">
        <v>536</v>
      </c>
      <c r="V84" s="83"/>
      <c r="W84" s="84">
        <v>27.3878059387207</v>
      </c>
      <c r="X84" s="84">
        <v>27.830202102661129</v>
      </c>
      <c r="Y84" s="84"/>
      <c r="Z84" s="84"/>
      <c r="AA84" s="84">
        <v>26.173428535461429</v>
      </c>
      <c r="AB84" s="84">
        <v>27.494235992431641</v>
      </c>
      <c r="AC84" s="84">
        <v>28.13809871673584</v>
      </c>
      <c r="AD84" s="84">
        <v>26.784426689147949</v>
      </c>
      <c r="AE84" s="84">
        <v>26.719878196716309</v>
      </c>
      <c r="AF84" s="84">
        <v>27.165315628051761</v>
      </c>
      <c r="AG84" s="84">
        <v>39.324909210205078</v>
      </c>
      <c r="AH84" s="84">
        <v>29.40242958068848</v>
      </c>
      <c r="AI84" s="84">
        <v>32.797332763671882</v>
      </c>
      <c r="AJ84" s="84">
        <v>27.544928550720211</v>
      </c>
      <c r="AK84" s="84">
        <v>34.278020858764648</v>
      </c>
      <c r="AL84" s="84">
        <v>27.604161262512211</v>
      </c>
      <c r="AM84" s="84">
        <v>30.24573802947998</v>
      </c>
      <c r="AN84" s="84">
        <v>27.360048294067379</v>
      </c>
      <c r="AO84" s="84">
        <v>34.954616546630859</v>
      </c>
      <c r="AP84" s="84">
        <v>27.57879638671875</v>
      </c>
      <c r="AQ84" s="85"/>
      <c r="AR84" s="84">
        <v>-0.44239616394042969</v>
      </c>
      <c r="AS84" s="84">
        <v>-1.3208074569702151</v>
      </c>
      <c r="AT84" s="84">
        <v>1.3536720275878911</v>
      </c>
      <c r="AU84" s="84">
        <v>-0.44543743133544922</v>
      </c>
      <c r="AV84" s="84">
        <v>9.9224796295166016</v>
      </c>
      <c r="AW84" s="84">
        <v>5.2524042129516602</v>
      </c>
      <c r="AX84" s="84">
        <v>6.6738595962524414</v>
      </c>
      <c r="AY84" s="84">
        <v>2.8856897354125981</v>
      </c>
      <c r="AZ84" s="84">
        <v>7.3758201599121094</v>
      </c>
      <c r="BA84" s="85"/>
      <c r="BB84" s="83" t="s">
        <v>21</v>
      </c>
      <c r="BC84" s="83">
        <v>84.3</v>
      </c>
    </row>
    <row r="85" spans="1:55">
      <c r="A85" s="83" t="s">
        <v>214</v>
      </c>
      <c r="B85" s="83">
        <v>58</v>
      </c>
      <c r="C85" s="83">
        <v>58</v>
      </c>
      <c r="D85" s="83" t="s">
        <v>382</v>
      </c>
      <c r="E85" s="83" t="s">
        <v>383</v>
      </c>
      <c r="F85" s="83"/>
      <c r="G85" s="83"/>
      <c r="H85" s="83" t="s">
        <v>384</v>
      </c>
      <c r="I85" s="83" t="s">
        <v>21</v>
      </c>
      <c r="J85" s="83">
        <v>89</v>
      </c>
      <c r="K85" s="83" t="s">
        <v>22</v>
      </c>
      <c r="L85" s="83">
        <v>20191204</v>
      </c>
      <c r="M85" s="83"/>
      <c r="N85" s="83"/>
      <c r="O85" s="99">
        <f t="shared" si="1"/>
        <v>96.9</v>
      </c>
      <c r="Q85" s="83">
        <v>18.71</v>
      </c>
      <c r="R85" s="83">
        <v>1.19</v>
      </c>
      <c r="S85" s="83">
        <v>0.39</v>
      </c>
      <c r="T85" s="83">
        <v>30</v>
      </c>
      <c r="U85" s="83">
        <v>561.4</v>
      </c>
      <c r="V85" s="83"/>
      <c r="W85" s="84">
        <v>26.563999176025391</v>
      </c>
      <c r="X85" s="84">
        <v>26.635309219360352</v>
      </c>
      <c r="Y85" s="84"/>
      <c r="Z85" s="84"/>
      <c r="AA85" s="84">
        <v>25.17503547668457</v>
      </c>
      <c r="AB85" s="84">
        <v>26.441934585571289</v>
      </c>
      <c r="AC85" s="84">
        <v>24.47901630401611</v>
      </c>
      <c r="AD85" s="84">
        <v>25.308919906616211</v>
      </c>
      <c r="AE85" s="84">
        <v>25.24285984039307</v>
      </c>
      <c r="AF85" s="84">
        <v>25.955435752868649</v>
      </c>
      <c r="AG85" s="84">
        <v>37.082662582397461</v>
      </c>
      <c r="AH85" s="84">
        <v>28.273919105529789</v>
      </c>
      <c r="AI85" s="84">
        <v>32.520700454711907</v>
      </c>
      <c r="AJ85" s="84">
        <v>26.53745174407959</v>
      </c>
      <c r="AK85" s="84">
        <v>31.317476272583011</v>
      </c>
      <c r="AL85" s="84">
        <v>26.480889320373539</v>
      </c>
      <c r="AM85" s="84">
        <v>29.672581672668461</v>
      </c>
      <c r="AN85" s="84">
        <v>26.244926452636719</v>
      </c>
      <c r="AO85" s="84">
        <v>33.734500885009773</v>
      </c>
      <c r="AP85" s="84">
        <v>26.369638442993161</v>
      </c>
      <c r="AQ85" s="85"/>
      <c r="AR85" s="84">
        <v>-7.1310043334960938E-2</v>
      </c>
      <c r="AS85" s="84">
        <v>-1.266899108886719</v>
      </c>
      <c r="AT85" s="84">
        <v>-0.82990360260009766</v>
      </c>
      <c r="AU85" s="84">
        <v>-0.71257591247558594</v>
      </c>
      <c r="AV85" s="84">
        <v>8.8087434768676758</v>
      </c>
      <c r="AW85" s="84">
        <v>5.9832487106323242</v>
      </c>
      <c r="AX85" s="84">
        <v>4.8365869522094727</v>
      </c>
      <c r="AY85" s="84">
        <v>3.4276552200317378</v>
      </c>
      <c r="AZ85" s="84">
        <v>7.3648624420166016</v>
      </c>
      <c r="BA85" s="85"/>
      <c r="BB85" s="83" t="s">
        <v>21</v>
      </c>
      <c r="BC85" s="83">
        <v>96.9</v>
      </c>
    </row>
    <row r="86" spans="1:55">
      <c r="A86" s="83" t="s">
        <v>214</v>
      </c>
      <c r="B86" s="83">
        <v>59</v>
      </c>
      <c r="C86" s="83">
        <v>59</v>
      </c>
      <c r="D86" s="83" t="s">
        <v>385</v>
      </c>
      <c r="E86" s="83" t="s">
        <v>386</v>
      </c>
      <c r="F86" s="83"/>
      <c r="G86" s="83"/>
      <c r="H86" s="83" t="s">
        <v>387</v>
      </c>
      <c r="I86" s="83" t="s">
        <v>21</v>
      </c>
      <c r="J86" s="83">
        <v>89</v>
      </c>
      <c r="K86" s="83" t="s">
        <v>22</v>
      </c>
      <c r="L86" s="83"/>
      <c r="M86" s="83"/>
      <c r="N86" s="83"/>
      <c r="O86" s="99">
        <f t="shared" si="1"/>
        <v>85</v>
      </c>
      <c r="Q86" s="83">
        <v>20.56</v>
      </c>
      <c r="R86" s="83">
        <v>1.21</v>
      </c>
      <c r="S86" s="83">
        <v>0.41</v>
      </c>
      <c r="T86" s="83">
        <v>30</v>
      </c>
      <c r="U86" s="83">
        <v>616.70000000000005</v>
      </c>
      <c r="V86" s="83"/>
      <c r="W86" s="84">
        <v>26.661054611206051</v>
      </c>
      <c r="X86" s="84">
        <v>25.764450073242191</v>
      </c>
      <c r="Y86" s="84"/>
      <c r="Z86" s="84"/>
      <c r="AA86" s="84">
        <v>25.429746627807621</v>
      </c>
      <c r="AB86" s="84">
        <v>25.620536804199219</v>
      </c>
      <c r="AC86" s="84">
        <v>24.775301933288571</v>
      </c>
      <c r="AD86" s="84">
        <v>24.546710014343262</v>
      </c>
      <c r="AE86" s="84">
        <v>24.846384048461911</v>
      </c>
      <c r="AF86" s="84">
        <v>25.154550552368161</v>
      </c>
      <c r="AG86" s="84">
        <v>37.712181091308587</v>
      </c>
      <c r="AH86" s="84">
        <v>27.182987213134769</v>
      </c>
      <c r="AI86" s="84">
        <v>33.233705520629883</v>
      </c>
      <c r="AJ86" s="84">
        <v>25.67740631103516</v>
      </c>
      <c r="AK86" s="84">
        <v>31.426083564758301</v>
      </c>
      <c r="AL86" s="84">
        <v>25.61672210693359</v>
      </c>
      <c r="AM86" s="84">
        <v>30.2291374206543</v>
      </c>
      <c r="AN86" s="84">
        <v>25.58481597900391</v>
      </c>
      <c r="AO86" s="84">
        <v>32.794898986816413</v>
      </c>
      <c r="AP86" s="84">
        <v>25.551692962646481</v>
      </c>
      <c r="AQ86" s="85"/>
      <c r="AR86" s="84">
        <v>0.89660453796386719</v>
      </c>
      <c r="AS86" s="84">
        <v>-0.19079017639160159</v>
      </c>
      <c r="AT86" s="84">
        <v>0.2285919189453125</v>
      </c>
      <c r="AU86" s="84">
        <v>-0.30816650390625</v>
      </c>
      <c r="AV86" s="84">
        <v>10.52919387817383</v>
      </c>
      <c r="AW86" s="84">
        <v>7.5562992095947266</v>
      </c>
      <c r="AX86" s="84">
        <v>5.809361457824707</v>
      </c>
      <c r="AY86" s="84">
        <v>4.6443214416503906</v>
      </c>
      <c r="AZ86" s="84">
        <v>7.2432060241699219</v>
      </c>
      <c r="BA86" s="85"/>
      <c r="BB86" s="83" t="s">
        <v>21</v>
      </c>
      <c r="BC86" s="83">
        <v>85</v>
      </c>
    </row>
    <row r="87" spans="1:55">
      <c r="A87" s="83" t="s">
        <v>214</v>
      </c>
      <c r="B87" s="83">
        <v>60</v>
      </c>
      <c r="C87" s="83">
        <v>60</v>
      </c>
      <c r="D87" s="83" t="s">
        <v>388</v>
      </c>
      <c r="E87" s="83" t="s">
        <v>389</v>
      </c>
      <c r="F87" s="83"/>
      <c r="G87" s="83"/>
      <c r="H87" s="83" t="s">
        <v>390</v>
      </c>
      <c r="I87" s="83" t="s">
        <v>21</v>
      </c>
      <c r="J87" s="83">
        <v>89</v>
      </c>
      <c r="K87" s="83" t="s">
        <v>22</v>
      </c>
      <c r="L87" s="83">
        <v>20200907</v>
      </c>
      <c r="M87" s="83"/>
      <c r="N87" s="83"/>
      <c r="O87" s="99">
        <f t="shared" si="1"/>
        <v>99.9</v>
      </c>
      <c r="Q87" s="83">
        <v>18.899999999999999</v>
      </c>
      <c r="R87" s="83">
        <v>1.19</v>
      </c>
      <c r="S87" s="83">
        <v>0.4</v>
      </c>
      <c r="T87" s="83">
        <v>30</v>
      </c>
      <c r="U87" s="83">
        <v>567.1</v>
      </c>
      <c r="V87" s="83"/>
      <c r="W87" s="84">
        <v>26.780858039855961</v>
      </c>
      <c r="X87" s="84">
        <v>30.37137603759766</v>
      </c>
      <c r="Y87" s="84"/>
      <c r="Z87" s="84"/>
      <c r="AA87" s="84">
        <v>21.482681274414059</v>
      </c>
      <c r="AB87" s="84">
        <v>28.669870376586911</v>
      </c>
      <c r="AC87" s="84">
        <v>30.352423667907711</v>
      </c>
      <c r="AD87" s="84">
        <v>29.794229507446289</v>
      </c>
      <c r="AE87" s="84">
        <v>26.263741493225101</v>
      </c>
      <c r="AF87" s="84">
        <v>29.707615852355961</v>
      </c>
      <c r="AG87" s="84">
        <v>37.133106231689453</v>
      </c>
      <c r="AH87" s="84">
        <v>32.675991058349609</v>
      </c>
      <c r="AI87" s="84">
        <v>30.985072135925289</v>
      </c>
      <c r="AJ87" s="84">
        <v>30.418071746826168</v>
      </c>
      <c r="AK87" s="84">
        <v>34.035009384155273</v>
      </c>
      <c r="AL87" s="84">
        <v>30.82092189788818</v>
      </c>
      <c r="AM87" s="84">
        <v>28.989316940307621</v>
      </c>
      <c r="AN87" s="84">
        <v>29.65910530090332</v>
      </c>
      <c r="AO87" s="84">
        <v>32.552577972412109</v>
      </c>
      <c r="AP87" s="84">
        <v>30.402401924133301</v>
      </c>
      <c r="AQ87" s="85"/>
      <c r="AR87" s="84">
        <v>-3.5905179977416992</v>
      </c>
      <c r="AS87" s="84">
        <v>-7.1871891021728516</v>
      </c>
      <c r="AT87" s="84">
        <v>0.55819416046142578</v>
      </c>
      <c r="AU87" s="84">
        <v>-3.4438743591308589</v>
      </c>
      <c r="AV87" s="84">
        <v>4.4571151733398438</v>
      </c>
      <c r="AW87" s="84">
        <v>0.56700038909912109</v>
      </c>
      <c r="AX87" s="84">
        <v>3.2140874862670898</v>
      </c>
      <c r="AY87" s="84">
        <v>-0.66978836059570312</v>
      </c>
      <c r="AZ87" s="84">
        <v>2.150176048278809</v>
      </c>
      <c r="BA87" s="85"/>
      <c r="BB87" s="83" t="s">
        <v>21</v>
      </c>
      <c r="BC87" s="83">
        <v>99.9</v>
      </c>
    </row>
    <row r="88" spans="1:55">
      <c r="A88" s="83" t="s">
        <v>214</v>
      </c>
      <c r="B88" s="83">
        <v>61</v>
      </c>
      <c r="C88" s="83">
        <v>61</v>
      </c>
      <c r="D88" s="83" t="s">
        <v>391</v>
      </c>
      <c r="E88" s="83" t="s">
        <v>392</v>
      </c>
      <c r="F88" s="83"/>
      <c r="G88" s="83"/>
      <c r="H88" s="83" t="s">
        <v>393</v>
      </c>
      <c r="I88" s="83" t="s">
        <v>21</v>
      </c>
      <c r="J88" s="83">
        <v>89</v>
      </c>
      <c r="K88" s="83" t="s">
        <v>22</v>
      </c>
      <c r="L88" s="83">
        <v>20201001</v>
      </c>
      <c r="M88" s="83"/>
      <c r="N88" s="83"/>
      <c r="O88" s="99"/>
      <c r="Q88" s="83">
        <v>15.47</v>
      </c>
      <c r="R88" s="83">
        <v>1.1599999999999999</v>
      </c>
      <c r="S88" s="83">
        <v>0.38</v>
      </c>
      <c r="T88" s="83">
        <v>30</v>
      </c>
      <c r="U88" s="83">
        <v>464.1</v>
      </c>
      <c r="V88" s="83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5"/>
      <c r="AR88" s="84"/>
      <c r="AS88" s="84"/>
      <c r="AT88" s="84"/>
      <c r="AU88" s="84"/>
      <c r="AV88" s="84"/>
      <c r="AW88" s="84"/>
      <c r="AX88" s="84"/>
      <c r="AY88" s="84"/>
      <c r="AZ88" s="84"/>
      <c r="BA88" s="85"/>
      <c r="BB88" s="83" t="s">
        <v>21</v>
      </c>
      <c r="BC88" s="83"/>
    </row>
    <row r="89" spans="1:55">
      <c r="A89" s="83" t="s">
        <v>214</v>
      </c>
      <c r="B89" s="83">
        <v>62</v>
      </c>
      <c r="C89" s="83">
        <v>62</v>
      </c>
      <c r="D89" s="83" t="s">
        <v>394</v>
      </c>
      <c r="E89" s="83" t="s">
        <v>395</v>
      </c>
      <c r="F89" s="83"/>
      <c r="G89" s="83"/>
      <c r="H89" s="83" t="s">
        <v>396</v>
      </c>
      <c r="I89" s="83" t="s">
        <v>21</v>
      </c>
      <c r="J89" s="83">
        <v>89</v>
      </c>
      <c r="K89" s="83" t="s">
        <v>22</v>
      </c>
      <c r="L89" s="83">
        <v>20190701</v>
      </c>
      <c r="M89" s="83"/>
      <c r="N89" s="83"/>
      <c r="O89" s="99"/>
      <c r="Q89" s="83">
        <v>16.96</v>
      </c>
      <c r="R89" s="83">
        <v>1.2</v>
      </c>
      <c r="S89" s="83">
        <v>0.39</v>
      </c>
      <c r="T89" s="83">
        <v>30</v>
      </c>
      <c r="U89" s="83">
        <v>508.7</v>
      </c>
      <c r="V89" s="83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5"/>
      <c r="AR89" s="84"/>
      <c r="AS89" s="84"/>
      <c r="AT89" s="84"/>
      <c r="AU89" s="84"/>
      <c r="AV89" s="84"/>
      <c r="AW89" s="84"/>
      <c r="AX89" s="84"/>
      <c r="AY89" s="84"/>
      <c r="AZ89" s="84"/>
      <c r="BA89" s="85"/>
      <c r="BB89" s="83" t="s">
        <v>21</v>
      </c>
      <c r="BC89" s="83"/>
    </row>
    <row r="90" spans="1:55">
      <c r="A90" s="83" t="s">
        <v>214</v>
      </c>
      <c r="B90" s="83">
        <v>63</v>
      </c>
      <c r="C90" s="83">
        <v>63</v>
      </c>
      <c r="D90" s="83" t="s">
        <v>397</v>
      </c>
      <c r="E90" s="83" t="s">
        <v>398</v>
      </c>
      <c r="F90" s="83"/>
      <c r="G90" s="83"/>
      <c r="H90" s="83" t="s">
        <v>399</v>
      </c>
      <c r="I90" s="83" t="s">
        <v>400</v>
      </c>
      <c r="J90" s="83">
        <v>81</v>
      </c>
      <c r="K90" s="83" t="s">
        <v>22</v>
      </c>
      <c r="L90" s="83">
        <v>20210223</v>
      </c>
      <c r="M90" s="83"/>
      <c r="N90" s="83"/>
      <c r="O90" s="99"/>
      <c r="Q90" s="83">
        <v>18.84</v>
      </c>
      <c r="R90" s="83">
        <v>1.2</v>
      </c>
      <c r="S90" s="83">
        <v>0.41</v>
      </c>
      <c r="T90" s="83">
        <v>30</v>
      </c>
      <c r="U90" s="83">
        <v>565.1</v>
      </c>
      <c r="V90" s="83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5"/>
      <c r="AR90" s="84"/>
      <c r="AS90" s="84"/>
      <c r="AT90" s="84"/>
      <c r="AU90" s="84"/>
      <c r="AV90" s="84"/>
      <c r="AW90" s="84"/>
      <c r="AX90" s="84"/>
      <c r="AY90" s="84"/>
      <c r="AZ90" s="84"/>
      <c r="BA90" s="85"/>
      <c r="BB90" s="83" t="s">
        <v>21</v>
      </c>
      <c r="BC90" s="83"/>
    </row>
    <row r="91" spans="1:55">
      <c r="A91" s="83" t="s">
        <v>214</v>
      </c>
      <c r="B91" s="83">
        <v>64</v>
      </c>
      <c r="C91" s="83">
        <v>64</v>
      </c>
      <c r="D91" s="83" t="s">
        <v>401</v>
      </c>
      <c r="E91" s="83" t="s">
        <v>398</v>
      </c>
      <c r="F91" s="83"/>
      <c r="G91" s="83"/>
      <c r="H91" s="83" t="s">
        <v>402</v>
      </c>
      <c r="I91" s="83" t="s">
        <v>400</v>
      </c>
      <c r="J91" s="83">
        <v>81</v>
      </c>
      <c r="K91" s="83" t="s">
        <v>22</v>
      </c>
      <c r="L91" s="83">
        <v>20210223</v>
      </c>
      <c r="M91" s="83"/>
      <c r="N91" s="83"/>
      <c r="O91" s="99"/>
      <c r="Q91" s="83">
        <v>18.98</v>
      </c>
      <c r="R91" s="83">
        <v>1.25</v>
      </c>
      <c r="S91" s="83">
        <v>0.44</v>
      </c>
      <c r="T91" s="83">
        <v>30</v>
      </c>
      <c r="U91" s="83">
        <v>569.5</v>
      </c>
      <c r="V91" s="83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5"/>
      <c r="AR91" s="84"/>
      <c r="AS91" s="84"/>
      <c r="AT91" s="84"/>
      <c r="AU91" s="84"/>
      <c r="AV91" s="84"/>
      <c r="AW91" s="84"/>
      <c r="AX91" s="84"/>
      <c r="AY91" s="84"/>
      <c r="AZ91" s="84"/>
      <c r="BA91" s="85"/>
      <c r="BB91" s="83" t="s">
        <v>21</v>
      </c>
      <c r="BC91" s="83"/>
    </row>
    <row r="92" spans="1:55">
      <c r="A92" s="83" t="s">
        <v>214</v>
      </c>
      <c r="B92" s="83">
        <v>65</v>
      </c>
      <c r="C92" s="83">
        <v>65</v>
      </c>
      <c r="D92" s="83" t="s">
        <v>403</v>
      </c>
      <c r="E92" s="83" t="s">
        <v>404</v>
      </c>
      <c r="F92" s="83"/>
      <c r="G92" s="83"/>
      <c r="H92" s="83" t="s">
        <v>405</v>
      </c>
      <c r="I92" s="83" t="s">
        <v>21</v>
      </c>
      <c r="J92" s="83">
        <v>54</v>
      </c>
      <c r="K92" s="83" t="s">
        <v>23</v>
      </c>
      <c r="L92" s="83">
        <v>20200908</v>
      </c>
      <c r="M92" s="83"/>
      <c r="N92" s="83"/>
      <c r="O92" s="99"/>
      <c r="Q92" s="83">
        <v>44.9</v>
      </c>
      <c r="R92" s="83">
        <v>1.33</v>
      </c>
      <c r="S92" s="83">
        <v>0.49</v>
      </c>
      <c r="T92" s="83">
        <v>30</v>
      </c>
      <c r="U92" s="83">
        <v>1346.9</v>
      </c>
      <c r="V92" s="83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5"/>
      <c r="AR92" s="84"/>
      <c r="AS92" s="84"/>
      <c r="AT92" s="84"/>
      <c r="AU92" s="84"/>
      <c r="AV92" s="84"/>
      <c r="AW92" s="84"/>
      <c r="AX92" s="84"/>
      <c r="AY92" s="84"/>
      <c r="AZ92" s="84"/>
      <c r="BA92" s="85"/>
      <c r="BB92" s="83" t="s">
        <v>21</v>
      </c>
      <c r="BC92" s="83"/>
    </row>
    <row r="93" spans="1:55">
      <c r="A93" s="83" t="s">
        <v>214</v>
      </c>
      <c r="B93" s="83">
        <v>66</v>
      </c>
      <c r="C93" s="83">
        <v>66</v>
      </c>
      <c r="D93" s="83" t="s">
        <v>406</v>
      </c>
      <c r="E93" s="83" t="s">
        <v>407</v>
      </c>
      <c r="F93" s="83"/>
      <c r="G93" s="83"/>
      <c r="H93" s="83" t="s">
        <v>408</v>
      </c>
      <c r="I93" s="83" t="s">
        <v>21</v>
      </c>
      <c r="J93" s="83">
        <v>63</v>
      </c>
      <c r="K93" s="83" t="s">
        <v>23</v>
      </c>
      <c r="L93" s="83">
        <v>20201020</v>
      </c>
      <c r="M93" s="83"/>
      <c r="N93" s="83"/>
      <c r="O93" s="99"/>
      <c r="Q93" s="83">
        <v>27.2</v>
      </c>
      <c r="R93" s="83">
        <v>1.28</v>
      </c>
      <c r="S93" s="83">
        <v>0.45</v>
      </c>
      <c r="T93" s="83">
        <v>30</v>
      </c>
      <c r="U93" s="83">
        <v>816</v>
      </c>
      <c r="V93" s="83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5"/>
      <c r="AR93" s="84"/>
      <c r="AS93" s="84"/>
      <c r="AT93" s="84"/>
      <c r="AU93" s="84"/>
      <c r="AV93" s="84"/>
      <c r="AW93" s="84"/>
      <c r="AX93" s="84"/>
      <c r="AY93" s="84"/>
      <c r="AZ93" s="84"/>
      <c r="BA93" s="85"/>
      <c r="BB93" s="83" t="s">
        <v>21</v>
      </c>
      <c r="BC93" s="83"/>
    </row>
    <row r="94" spans="1:55">
      <c r="A94" s="83" t="s">
        <v>214</v>
      </c>
      <c r="B94" s="83">
        <v>67</v>
      </c>
      <c r="C94" s="83">
        <v>67</v>
      </c>
      <c r="D94" s="83" t="s">
        <v>409</v>
      </c>
      <c r="E94" s="83" t="s">
        <v>410</v>
      </c>
      <c r="F94" s="83"/>
      <c r="G94" s="83"/>
      <c r="H94" s="83" t="s">
        <v>411</v>
      </c>
      <c r="I94" s="83" t="s">
        <v>21</v>
      </c>
      <c r="J94" s="83">
        <v>72</v>
      </c>
      <c r="K94" s="83" t="s">
        <v>22</v>
      </c>
      <c r="L94" s="83">
        <v>20190911</v>
      </c>
      <c r="M94" s="83"/>
      <c r="N94" s="83"/>
      <c r="O94" s="99"/>
      <c r="Q94" s="83">
        <v>33.25</v>
      </c>
      <c r="R94" s="83">
        <v>1.32</v>
      </c>
      <c r="S94" s="83">
        <v>0.47</v>
      </c>
      <c r="T94" s="83">
        <v>30</v>
      </c>
      <c r="U94" s="83">
        <v>997.6</v>
      </c>
      <c r="V94" s="83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5"/>
      <c r="AR94" s="84"/>
      <c r="AS94" s="84"/>
      <c r="AT94" s="84"/>
      <c r="AU94" s="84"/>
      <c r="AV94" s="84"/>
      <c r="AW94" s="84"/>
      <c r="AX94" s="84"/>
      <c r="AY94" s="84"/>
      <c r="AZ94" s="84"/>
      <c r="BA94" s="85"/>
      <c r="BB94" s="83" t="s">
        <v>21</v>
      </c>
      <c r="BC94" s="83"/>
    </row>
    <row r="95" spans="1:55">
      <c r="A95" s="83" t="s">
        <v>214</v>
      </c>
      <c r="B95" s="83">
        <v>68</v>
      </c>
      <c r="C95" s="83">
        <v>68</v>
      </c>
      <c r="D95" s="83" t="s">
        <v>412</v>
      </c>
      <c r="E95" s="83" t="s">
        <v>413</v>
      </c>
      <c r="F95" s="83"/>
      <c r="G95" s="83"/>
      <c r="H95" s="83" t="s">
        <v>414</v>
      </c>
      <c r="I95" s="83" t="s">
        <v>21</v>
      </c>
      <c r="J95" s="83">
        <v>85</v>
      </c>
      <c r="K95" s="83" t="s">
        <v>23</v>
      </c>
      <c r="L95" s="83">
        <v>20201124</v>
      </c>
      <c r="M95" s="83"/>
      <c r="N95" s="83"/>
      <c r="O95" s="99"/>
      <c r="Q95" s="83">
        <v>35.26</v>
      </c>
      <c r="R95" s="83">
        <v>1.33</v>
      </c>
      <c r="S95" s="83">
        <v>0.47</v>
      </c>
      <c r="T95" s="83">
        <v>30</v>
      </c>
      <c r="U95" s="83">
        <v>1057.7</v>
      </c>
      <c r="V95" s="83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5"/>
      <c r="AR95" s="84"/>
      <c r="AS95" s="84"/>
      <c r="AT95" s="84"/>
      <c r="AU95" s="84"/>
      <c r="AV95" s="84"/>
      <c r="AW95" s="84"/>
      <c r="AX95" s="84"/>
      <c r="AY95" s="84"/>
      <c r="AZ95" s="84"/>
      <c r="BA95" s="85"/>
      <c r="BB95" s="83" t="s">
        <v>21</v>
      </c>
      <c r="BC95" s="83"/>
    </row>
    <row r="96" spans="1:55">
      <c r="A96" s="83" t="s">
        <v>214</v>
      </c>
      <c r="B96" s="83">
        <v>69</v>
      </c>
      <c r="C96" s="83">
        <v>69</v>
      </c>
      <c r="D96" s="83" t="s">
        <v>415</v>
      </c>
      <c r="E96" s="83" t="s">
        <v>416</v>
      </c>
      <c r="F96" s="83"/>
      <c r="G96" s="83"/>
      <c r="H96" s="83" t="s">
        <v>417</v>
      </c>
      <c r="I96" s="83" t="s">
        <v>21</v>
      </c>
      <c r="J96" s="83">
        <v>60</v>
      </c>
      <c r="K96" s="83" t="s">
        <v>22</v>
      </c>
      <c r="L96" s="83">
        <v>20190605</v>
      </c>
      <c r="M96" s="83"/>
      <c r="N96" s="83"/>
      <c r="O96" s="99"/>
      <c r="Q96" s="83">
        <v>37.770000000000003</v>
      </c>
      <c r="R96" s="83">
        <v>1.3</v>
      </c>
      <c r="S96" s="83">
        <v>0.46</v>
      </c>
      <c r="T96" s="83">
        <v>30</v>
      </c>
      <c r="U96" s="83">
        <v>1133.0999999999999</v>
      </c>
      <c r="V96" s="83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5"/>
      <c r="AR96" s="84"/>
      <c r="AS96" s="84"/>
      <c r="AT96" s="84"/>
      <c r="AU96" s="84"/>
      <c r="AV96" s="84"/>
      <c r="AW96" s="84"/>
      <c r="AX96" s="84"/>
      <c r="AY96" s="84"/>
      <c r="AZ96" s="84"/>
      <c r="BA96" s="85"/>
      <c r="BB96" s="83" t="s">
        <v>21</v>
      </c>
      <c r="BC96" s="83"/>
    </row>
    <row r="97" spans="1:55">
      <c r="A97" s="83" t="s">
        <v>214</v>
      </c>
      <c r="B97" s="83">
        <v>70</v>
      </c>
      <c r="C97" s="83">
        <v>70</v>
      </c>
      <c r="D97" s="83" t="s">
        <v>418</v>
      </c>
      <c r="E97" s="83" t="s">
        <v>419</v>
      </c>
      <c r="F97" s="83"/>
      <c r="G97" s="83"/>
      <c r="H97" s="83" t="s">
        <v>420</v>
      </c>
      <c r="I97" s="83" t="s">
        <v>21</v>
      </c>
      <c r="J97" s="83">
        <v>60</v>
      </c>
      <c r="K97" s="83" t="s">
        <v>22</v>
      </c>
      <c r="L97" s="83">
        <v>20190721</v>
      </c>
      <c r="M97" s="83"/>
      <c r="N97" s="83"/>
      <c r="O97" s="99"/>
      <c r="Q97" s="83">
        <v>22.17</v>
      </c>
      <c r="R97" s="83">
        <v>1.26</v>
      </c>
      <c r="S97" s="83">
        <v>0.43</v>
      </c>
      <c r="T97" s="83">
        <v>30</v>
      </c>
      <c r="U97" s="83">
        <v>665.2</v>
      </c>
      <c r="V97" s="83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5"/>
      <c r="AR97" s="84"/>
      <c r="AS97" s="84"/>
      <c r="AT97" s="84"/>
      <c r="AU97" s="84"/>
      <c r="AV97" s="84"/>
      <c r="AW97" s="84"/>
      <c r="AX97" s="84"/>
      <c r="AY97" s="84"/>
      <c r="AZ97" s="84"/>
      <c r="BA97" s="85"/>
      <c r="BB97" s="83" t="s">
        <v>21</v>
      </c>
      <c r="BC97" s="83"/>
    </row>
    <row r="98" spans="1:55">
      <c r="A98" s="83" t="s">
        <v>214</v>
      </c>
      <c r="B98" s="83">
        <v>71</v>
      </c>
      <c r="C98" s="83">
        <v>71</v>
      </c>
      <c r="D98" s="83" t="s">
        <v>421</v>
      </c>
      <c r="E98" s="83" t="s">
        <v>422</v>
      </c>
      <c r="F98" s="83"/>
      <c r="G98" s="83"/>
      <c r="H98" s="83" t="s">
        <v>423</v>
      </c>
      <c r="I98" s="83" t="s">
        <v>21</v>
      </c>
      <c r="J98" s="83">
        <v>59</v>
      </c>
      <c r="K98" s="83" t="s">
        <v>23</v>
      </c>
      <c r="L98" s="83">
        <v>20190807</v>
      </c>
      <c r="M98" s="83"/>
      <c r="N98" s="83"/>
      <c r="O98" s="99"/>
      <c r="Q98" s="83">
        <v>26.09</v>
      </c>
      <c r="R98" s="83">
        <v>1.26</v>
      </c>
      <c r="S98" s="83">
        <v>0.44</v>
      </c>
      <c r="T98" s="83">
        <v>30</v>
      </c>
      <c r="U98" s="83">
        <v>782.7</v>
      </c>
      <c r="V98" s="83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5"/>
      <c r="AR98" s="84"/>
      <c r="AS98" s="84"/>
      <c r="AT98" s="84"/>
      <c r="AU98" s="84"/>
      <c r="AV98" s="84"/>
      <c r="AW98" s="84"/>
      <c r="AX98" s="84"/>
      <c r="AY98" s="84"/>
      <c r="AZ98" s="84"/>
      <c r="BA98" s="85"/>
      <c r="BB98" s="83" t="s">
        <v>21</v>
      </c>
      <c r="BC98" s="83"/>
    </row>
    <row r="99" spans="1:55">
      <c r="A99" s="83" t="s">
        <v>214</v>
      </c>
      <c r="B99" s="83">
        <v>72</v>
      </c>
      <c r="C99" s="83">
        <v>72</v>
      </c>
      <c r="D99" s="83" t="s">
        <v>424</v>
      </c>
      <c r="E99" s="83" t="s">
        <v>422</v>
      </c>
      <c r="F99" s="83"/>
      <c r="G99" s="83"/>
      <c r="H99" s="83" t="s">
        <v>425</v>
      </c>
      <c r="I99" s="83" t="s">
        <v>21</v>
      </c>
      <c r="J99" s="83">
        <v>59</v>
      </c>
      <c r="K99" s="83" t="s">
        <v>23</v>
      </c>
      <c r="L99" s="83">
        <v>20190807</v>
      </c>
      <c r="M99" s="83"/>
      <c r="N99" s="83"/>
      <c r="O99" s="99"/>
      <c r="Q99" s="83">
        <v>33.22</v>
      </c>
      <c r="R99" s="83">
        <v>1.32</v>
      </c>
      <c r="S99" s="83">
        <v>0.46</v>
      </c>
      <c r="T99" s="83">
        <v>30</v>
      </c>
      <c r="U99" s="83">
        <v>996.6</v>
      </c>
      <c r="V99" s="83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5"/>
      <c r="AR99" s="84"/>
      <c r="AS99" s="84"/>
      <c r="AT99" s="84"/>
      <c r="AU99" s="84"/>
      <c r="AV99" s="84"/>
      <c r="AW99" s="84"/>
      <c r="AX99" s="84"/>
      <c r="AY99" s="84"/>
      <c r="AZ99" s="84"/>
      <c r="BA99" s="85"/>
      <c r="BB99" s="83" t="s">
        <v>21</v>
      </c>
      <c r="BC99" s="83"/>
    </row>
    <row r="100" spans="1:55">
      <c r="A100" s="83" t="s">
        <v>214</v>
      </c>
      <c r="B100" s="83">
        <v>73</v>
      </c>
      <c r="C100" s="83">
        <v>73</v>
      </c>
      <c r="D100" s="83" t="s">
        <v>426</v>
      </c>
      <c r="E100" s="83" t="s">
        <v>427</v>
      </c>
      <c r="F100" s="83"/>
      <c r="G100" s="83"/>
      <c r="H100" s="83" t="s">
        <v>428</v>
      </c>
      <c r="I100" s="83" t="s">
        <v>21</v>
      </c>
      <c r="J100" s="83">
        <v>75</v>
      </c>
      <c r="K100" s="83" t="s">
        <v>22</v>
      </c>
      <c r="L100" s="83"/>
      <c r="M100" s="83"/>
      <c r="N100" s="83"/>
      <c r="O100" s="99"/>
      <c r="Q100" s="83">
        <v>25.52</v>
      </c>
      <c r="R100" s="83">
        <v>1.17</v>
      </c>
      <c r="S100" s="83">
        <v>0.4</v>
      </c>
      <c r="T100" s="83">
        <v>30</v>
      </c>
      <c r="U100" s="83">
        <v>765.5</v>
      </c>
      <c r="V100" s="83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5"/>
      <c r="AR100" s="84"/>
      <c r="AS100" s="84"/>
      <c r="AT100" s="84"/>
      <c r="AU100" s="84"/>
      <c r="AV100" s="84"/>
      <c r="AW100" s="84"/>
      <c r="AX100" s="84"/>
      <c r="AY100" s="84"/>
      <c r="AZ100" s="84"/>
      <c r="BA100" s="85"/>
      <c r="BB100" s="83" t="s">
        <v>21</v>
      </c>
      <c r="BC100" s="83"/>
    </row>
    <row r="101" spans="1:55">
      <c r="A101" s="83" t="s">
        <v>214</v>
      </c>
      <c r="B101" s="83">
        <v>74</v>
      </c>
      <c r="C101" s="83">
        <v>74</v>
      </c>
      <c r="D101" s="83" t="s">
        <v>429</v>
      </c>
      <c r="E101" s="83" t="s">
        <v>430</v>
      </c>
      <c r="F101" s="83"/>
      <c r="G101" s="83"/>
      <c r="H101" s="83" t="s">
        <v>431</v>
      </c>
      <c r="I101" s="83" t="s">
        <v>21</v>
      </c>
      <c r="J101" s="83">
        <v>78</v>
      </c>
      <c r="K101" s="83" t="s">
        <v>22</v>
      </c>
      <c r="L101" s="83"/>
      <c r="M101" s="83"/>
      <c r="N101" s="83"/>
      <c r="O101" s="99"/>
      <c r="Q101" s="83">
        <v>12.52</v>
      </c>
      <c r="R101" s="83">
        <v>1.1200000000000001</v>
      </c>
      <c r="S101" s="83">
        <v>0.38</v>
      </c>
      <c r="T101" s="83">
        <v>30</v>
      </c>
      <c r="U101" s="83">
        <v>375.6</v>
      </c>
      <c r="V101" s="83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5"/>
      <c r="AR101" s="84"/>
      <c r="AS101" s="84"/>
      <c r="AT101" s="84"/>
      <c r="AU101" s="84"/>
      <c r="AV101" s="84"/>
      <c r="AW101" s="84"/>
      <c r="AX101" s="84"/>
      <c r="AY101" s="84"/>
      <c r="AZ101" s="84"/>
      <c r="BA101" s="85"/>
      <c r="BB101" s="83" t="s">
        <v>21</v>
      </c>
      <c r="BC101" s="83"/>
    </row>
    <row r="102" spans="1:55">
      <c r="A102" s="83" t="s">
        <v>214</v>
      </c>
      <c r="B102" s="83">
        <v>75</v>
      </c>
      <c r="C102" s="83">
        <v>75</v>
      </c>
      <c r="D102" s="83" t="s">
        <v>432</v>
      </c>
      <c r="E102" s="83" t="s">
        <v>433</v>
      </c>
      <c r="F102" s="83"/>
      <c r="G102" s="83"/>
      <c r="H102" s="83" t="s">
        <v>434</v>
      </c>
      <c r="I102" s="83" t="s">
        <v>21</v>
      </c>
      <c r="J102" s="83">
        <v>63</v>
      </c>
      <c r="K102" s="83" t="s">
        <v>22</v>
      </c>
      <c r="L102" s="83"/>
      <c r="M102" s="83"/>
      <c r="N102" s="83"/>
      <c r="O102" s="99"/>
      <c r="Q102" s="83">
        <v>13.51</v>
      </c>
      <c r="R102" s="83">
        <v>1.19</v>
      </c>
      <c r="S102" s="83">
        <v>0.4</v>
      </c>
      <c r="T102" s="83">
        <v>30</v>
      </c>
      <c r="U102" s="83">
        <v>405.3</v>
      </c>
      <c r="V102" s="83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5"/>
      <c r="AR102" s="84"/>
      <c r="AS102" s="84"/>
      <c r="AT102" s="84"/>
      <c r="AU102" s="84"/>
      <c r="AV102" s="84"/>
      <c r="AW102" s="84"/>
      <c r="AX102" s="84"/>
      <c r="AY102" s="84"/>
      <c r="AZ102" s="84"/>
      <c r="BA102" s="85"/>
      <c r="BB102" s="83" t="s">
        <v>21</v>
      </c>
      <c r="BC102" s="83"/>
    </row>
    <row r="103" spans="1:55">
      <c r="A103" s="83" t="s">
        <v>214</v>
      </c>
      <c r="B103" s="83">
        <v>76</v>
      </c>
      <c r="C103" s="83">
        <v>76</v>
      </c>
      <c r="D103" s="83" t="s">
        <v>435</v>
      </c>
      <c r="E103" s="83" t="s">
        <v>436</v>
      </c>
      <c r="F103" s="83"/>
      <c r="G103" s="83"/>
      <c r="H103" s="83" t="s">
        <v>437</v>
      </c>
      <c r="I103" s="83" t="s">
        <v>21</v>
      </c>
      <c r="J103" s="83">
        <v>78</v>
      </c>
      <c r="K103" s="83" t="s">
        <v>22</v>
      </c>
      <c r="L103" s="83"/>
      <c r="M103" s="83"/>
      <c r="N103" s="83"/>
      <c r="O103" s="99"/>
      <c r="Q103" s="83">
        <v>22.36</v>
      </c>
      <c r="R103" s="83">
        <v>1.28</v>
      </c>
      <c r="S103" s="83">
        <v>0.46</v>
      </c>
      <c r="T103" s="83">
        <v>30</v>
      </c>
      <c r="U103" s="83">
        <v>670.9</v>
      </c>
      <c r="V103" s="83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5"/>
      <c r="AR103" s="84"/>
      <c r="AS103" s="84"/>
      <c r="AT103" s="84"/>
      <c r="AU103" s="84"/>
      <c r="AV103" s="84"/>
      <c r="AW103" s="84"/>
      <c r="AX103" s="84"/>
      <c r="AY103" s="84"/>
      <c r="AZ103" s="84"/>
      <c r="BA103" s="85"/>
      <c r="BB103" s="83" t="s">
        <v>21</v>
      </c>
      <c r="BC103" s="83"/>
    </row>
    <row r="104" spans="1:55">
      <c r="A104" s="83" t="s">
        <v>214</v>
      </c>
      <c r="B104" s="83">
        <v>77</v>
      </c>
      <c r="C104" s="83">
        <v>77</v>
      </c>
      <c r="D104" s="83" t="s">
        <v>438</v>
      </c>
      <c r="E104" s="83" t="s">
        <v>439</v>
      </c>
      <c r="F104" s="83"/>
      <c r="G104" s="83"/>
      <c r="H104" s="83" t="s">
        <v>440</v>
      </c>
      <c r="I104" s="83" t="s">
        <v>21</v>
      </c>
      <c r="J104" s="83">
        <v>77</v>
      </c>
      <c r="K104" s="83" t="s">
        <v>22</v>
      </c>
      <c r="L104" s="83"/>
      <c r="M104" s="83"/>
      <c r="N104" s="83"/>
      <c r="O104" s="99"/>
      <c r="Q104" s="83">
        <v>37.08</v>
      </c>
      <c r="R104" s="83">
        <v>1.31</v>
      </c>
      <c r="S104" s="83">
        <v>0.48</v>
      </c>
      <c r="T104" s="83">
        <v>30</v>
      </c>
      <c r="U104" s="83">
        <v>1112.4000000000001</v>
      </c>
      <c r="V104" s="83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5"/>
      <c r="AR104" s="84"/>
      <c r="AS104" s="84"/>
      <c r="AT104" s="84"/>
      <c r="AU104" s="84"/>
      <c r="AV104" s="84"/>
      <c r="AW104" s="84"/>
      <c r="AX104" s="84"/>
      <c r="AY104" s="84"/>
      <c r="AZ104" s="84"/>
      <c r="BA104" s="85"/>
      <c r="BB104" s="83" t="s">
        <v>21</v>
      </c>
      <c r="BC104" s="83"/>
    </row>
    <row r="105" spans="1:55">
      <c r="A105" s="83" t="s">
        <v>214</v>
      </c>
      <c r="B105" s="83">
        <v>78</v>
      </c>
      <c r="C105" s="83">
        <v>78</v>
      </c>
      <c r="D105" s="83" t="s">
        <v>441</v>
      </c>
      <c r="E105" s="83" t="s">
        <v>442</v>
      </c>
      <c r="F105" s="83"/>
      <c r="G105" s="83"/>
      <c r="H105" s="83" t="s">
        <v>443</v>
      </c>
      <c r="I105" s="83" t="s">
        <v>21</v>
      </c>
      <c r="J105" s="83">
        <v>76</v>
      </c>
      <c r="K105" s="83" t="s">
        <v>22</v>
      </c>
      <c r="L105" s="95">
        <v>44259</v>
      </c>
      <c r="M105" s="83"/>
      <c r="N105" s="83"/>
      <c r="O105" s="99"/>
      <c r="Q105" s="83">
        <v>14.74</v>
      </c>
      <c r="R105" s="83">
        <v>1.23</v>
      </c>
      <c r="S105" s="83">
        <v>0.44</v>
      </c>
      <c r="T105" s="83">
        <v>30</v>
      </c>
      <c r="U105" s="83">
        <v>442.1</v>
      </c>
      <c r="V105" s="83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5"/>
      <c r="AR105" s="84"/>
      <c r="AS105" s="84"/>
      <c r="AT105" s="84"/>
      <c r="AU105" s="84"/>
      <c r="AV105" s="84"/>
      <c r="AW105" s="84"/>
      <c r="AX105" s="84"/>
      <c r="AY105" s="84"/>
      <c r="AZ105" s="84"/>
      <c r="BA105" s="85"/>
      <c r="BB105" s="83" t="s">
        <v>21</v>
      </c>
      <c r="BC105" s="83"/>
    </row>
    <row r="106" spans="1:55">
      <c r="A106" s="83" t="s">
        <v>214</v>
      </c>
      <c r="B106" s="83">
        <v>79</v>
      </c>
      <c r="C106" s="83">
        <v>79</v>
      </c>
      <c r="D106" s="83" t="s">
        <v>444</v>
      </c>
      <c r="E106" s="83" t="s">
        <v>445</v>
      </c>
      <c r="F106" s="83"/>
      <c r="G106" s="83"/>
      <c r="H106" s="83" t="s">
        <v>446</v>
      </c>
      <c r="I106" s="83" t="s">
        <v>21</v>
      </c>
      <c r="J106" s="83">
        <v>73</v>
      </c>
      <c r="K106" s="83" t="s">
        <v>22</v>
      </c>
      <c r="L106" s="95">
        <v>44281</v>
      </c>
      <c r="M106" s="83"/>
      <c r="N106" s="83"/>
      <c r="O106" s="99"/>
      <c r="Q106" s="83">
        <v>26.55</v>
      </c>
      <c r="R106" s="83">
        <v>1.28</v>
      </c>
      <c r="S106" s="83">
        <v>0.45</v>
      </c>
      <c r="T106" s="83">
        <v>30</v>
      </c>
      <c r="U106" s="83">
        <v>796.4</v>
      </c>
      <c r="V106" s="83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5"/>
      <c r="AR106" s="84"/>
      <c r="AS106" s="84"/>
      <c r="AT106" s="84"/>
      <c r="AU106" s="84"/>
      <c r="AV106" s="84"/>
      <c r="AW106" s="84"/>
      <c r="AX106" s="84"/>
      <c r="AY106" s="84"/>
      <c r="AZ106" s="84"/>
      <c r="BA106" s="85"/>
      <c r="BB106" s="83" t="s">
        <v>21</v>
      </c>
      <c r="BC106" s="83"/>
    </row>
    <row r="107" spans="1:55">
      <c r="A107" s="83" t="s">
        <v>214</v>
      </c>
      <c r="B107" s="83">
        <v>80</v>
      </c>
      <c r="C107" s="83">
        <v>80</v>
      </c>
      <c r="D107" s="83" t="s">
        <v>447</v>
      </c>
      <c r="E107" s="83" t="s">
        <v>448</v>
      </c>
      <c r="F107" s="83"/>
      <c r="G107" s="83"/>
      <c r="H107" s="83" t="s">
        <v>449</v>
      </c>
      <c r="I107" s="83" t="s">
        <v>21</v>
      </c>
      <c r="J107" s="83">
        <v>75</v>
      </c>
      <c r="K107" s="83" t="s">
        <v>22</v>
      </c>
      <c r="L107" s="83"/>
      <c r="M107" s="83"/>
      <c r="N107" s="83"/>
      <c r="O107" s="99"/>
      <c r="Q107" s="83">
        <v>23.23</v>
      </c>
      <c r="R107" s="83">
        <v>1.28</v>
      </c>
      <c r="S107" s="83">
        <v>0.44</v>
      </c>
      <c r="T107" s="83">
        <v>30</v>
      </c>
      <c r="U107" s="83">
        <v>697</v>
      </c>
      <c r="V107" s="83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5"/>
      <c r="AR107" s="84"/>
      <c r="AS107" s="84"/>
      <c r="AT107" s="84"/>
      <c r="AU107" s="84"/>
      <c r="AV107" s="84"/>
      <c r="AW107" s="84"/>
      <c r="AX107" s="84"/>
      <c r="AY107" s="84"/>
      <c r="AZ107" s="84"/>
      <c r="BA107" s="85"/>
      <c r="BB107" s="83" t="s">
        <v>21</v>
      </c>
      <c r="BC107" s="83"/>
    </row>
    <row r="108" spans="1:55">
      <c r="A108" s="83" t="s">
        <v>214</v>
      </c>
      <c r="B108" s="83">
        <v>81</v>
      </c>
      <c r="C108" s="83">
        <v>81</v>
      </c>
      <c r="D108" s="83" t="s">
        <v>450</v>
      </c>
      <c r="E108" s="83" t="s">
        <v>451</v>
      </c>
      <c r="F108" s="83"/>
      <c r="G108" s="83"/>
      <c r="H108" s="83" t="s">
        <v>452</v>
      </c>
      <c r="I108" s="83" t="s">
        <v>21</v>
      </c>
      <c r="J108" s="83">
        <v>70</v>
      </c>
      <c r="K108" s="83" t="s">
        <v>22</v>
      </c>
      <c r="L108" s="83"/>
      <c r="M108" s="83"/>
      <c r="N108" s="83"/>
      <c r="O108" s="99"/>
      <c r="Q108" s="83">
        <v>32.049999999999997</v>
      </c>
      <c r="R108" s="83">
        <v>1.35</v>
      </c>
      <c r="S108" s="83">
        <v>0.47</v>
      </c>
      <c r="T108" s="83">
        <v>30</v>
      </c>
      <c r="U108" s="83">
        <v>961.6</v>
      </c>
      <c r="V108" s="83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5"/>
      <c r="AR108" s="84"/>
      <c r="AS108" s="84"/>
      <c r="AT108" s="84"/>
      <c r="AU108" s="84"/>
      <c r="AV108" s="84"/>
      <c r="AW108" s="84"/>
      <c r="AX108" s="84"/>
      <c r="AY108" s="84"/>
      <c r="AZ108" s="84"/>
      <c r="BA108" s="85"/>
      <c r="BB108" s="83" t="s">
        <v>21</v>
      </c>
      <c r="BC108" s="83"/>
    </row>
    <row r="109" spans="1:55">
      <c r="A109" s="83" t="s">
        <v>214</v>
      </c>
      <c r="B109" s="83">
        <v>82</v>
      </c>
      <c r="C109" s="83">
        <v>82</v>
      </c>
      <c r="D109" s="83" t="s">
        <v>453</v>
      </c>
      <c r="E109" s="83" t="s">
        <v>454</v>
      </c>
      <c r="F109" s="83"/>
      <c r="G109" s="83"/>
      <c r="H109" s="83" t="s">
        <v>455</v>
      </c>
      <c r="I109" s="83" t="s">
        <v>21</v>
      </c>
      <c r="J109" s="83">
        <v>77</v>
      </c>
      <c r="K109" s="83" t="s">
        <v>23</v>
      </c>
      <c r="L109" s="83">
        <v>20190522</v>
      </c>
      <c r="M109" s="83"/>
      <c r="N109" s="83"/>
      <c r="O109" s="99"/>
      <c r="Q109" s="83">
        <v>31.93</v>
      </c>
      <c r="R109" s="83">
        <v>1.37</v>
      </c>
      <c r="S109" s="83">
        <v>0.46</v>
      </c>
      <c r="T109" s="83">
        <v>30</v>
      </c>
      <c r="U109" s="83">
        <v>958</v>
      </c>
      <c r="V109" s="83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5"/>
      <c r="AR109" s="84"/>
      <c r="AS109" s="84"/>
      <c r="AT109" s="84"/>
      <c r="AU109" s="84"/>
      <c r="AV109" s="84"/>
      <c r="AW109" s="84"/>
      <c r="AX109" s="84"/>
      <c r="AY109" s="84"/>
      <c r="AZ109" s="84"/>
      <c r="BA109" s="85"/>
      <c r="BB109" s="83" t="s">
        <v>21</v>
      </c>
      <c r="BC109" s="83"/>
    </row>
    <row r="110" spans="1:55">
      <c r="A110" s="83" t="s">
        <v>214</v>
      </c>
      <c r="B110" s="83">
        <v>83</v>
      </c>
      <c r="C110" s="83">
        <v>83</v>
      </c>
      <c r="D110" s="83" t="s">
        <v>456</v>
      </c>
      <c r="E110" s="83" t="s">
        <v>457</v>
      </c>
      <c r="F110" s="83"/>
      <c r="G110" s="83"/>
      <c r="H110" s="83" t="s">
        <v>458</v>
      </c>
      <c r="I110" s="83" t="s">
        <v>21</v>
      </c>
      <c r="J110" s="83">
        <v>77</v>
      </c>
      <c r="K110" s="83" t="s">
        <v>23</v>
      </c>
      <c r="L110" s="83">
        <v>20190424</v>
      </c>
      <c r="M110" s="83"/>
      <c r="N110" s="83"/>
      <c r="O110" s="99"/>
      <c r="Q110" s="83">
        <v>33.299999999999997</v>
      </c>
      <c r="R110" s="83">
        <v>1.36</v>
      </c>
      <c r="S110" s="83">
        <v>0.45</v>
      </c>
      <c r="T110" s="83">
        <v>30</v>
      </c>
      <c r="U110" s="83">
        <v>999</v>
      </c>
      <c r="V110" s="83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5"/>
      <c r="AR110" s="84"/>
      <c r="AS110" s="84"/>
      <c r="AT110" s="84"/>
      <c r="AU110" s="84"/>
      <c r="AV110" s="84"/>
      <c r="AW110" s="84"/>
      <c r="AX110" s="84"/>
      <c r="AY110" s="84"/>
      <c r="AZ110" s="84"/>
      <c r="BA110" s="85"/>
      <c r="BB110" s="83" t="s">
        <v>21</v>
      </c>
      <c r="BC110" s="83"/>
    </row>
    <row r="111" spans="1:55">
      <c r="A111" s="83" t="s">
        <v>214</v>
      </c>
      <c r="B111" s="83">
        <v>84</v>
      </c>
      <c r="C111" s="83">
        <v>84</v>
      </c>
      <c r="D111" s="83" t="s">
        <v>459</v>
      </c>
      <c r="E111" s="83" t="s">
        <v>460</v>
      </c>
      <c r="F111" s="83"/>
      <c r="G111" s="83"/>
      <c r="H111" s="83" t="s">
        <v>461</v>
      </c>
      <c r="I111" s="83" t="s">
        <v>21</v>
      </c>
      <c r="J111" s="83">
        <v>78</v>
      </c>
      <c r="K111" s="83" t="s">
        <v>23</v>
      </c>
      <c r="L111" s="83">
        <v>20191106</v>
      </c>
      <c r="M111" s="83"/>
      <c r="N111" s="83"/>
      <c r="O111" s="99"/>
      <c r="Q111" s="83">
        <v>29.87</v>
      </c>
      <c r="R111" s="83">
        <v>1.37</v>
      </c>
      <c r="S111" s="83">
        <v>0.46</v>
      </c>
      <c r="T111" s="83">
        <v>30</v>
      </c>
      <c r="U111" s="83">
        <v>896.1</v>
      </c>
      <c r="V111" s="83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5"/>
      <c r="AR111" s="84"/>
      <c r="AS111" s="84"/>
      <c r="AT111" s="84"/>
      <c r="AU111" s="84"/>
      <c r="AV111" s="84"/>
      <c r="AW111" s="84"/>
      <c r="AX111" s="84"/>
      <c r="AY111" s="84"/>
      <c r="AZ111" s="84"/>
      <c r="BA111" s="85"/>
      <c r="BB111" s="83" t="s">
        <v>21</v>
      </c>
      <c r="BC111" s="83"/>
    </row>
    <row r="112" spans="1:55">
      <c r="A112" s="83" t="s">
        <v>214</v>
      </c>
      <c r="B112" s="83">
        <v>85</v>
      </c>
      <c r="C112" s="83">
        <v>85</v>
      </c>
      <c r="D112" s="83" t="s">
        <v>462</v>
      </c>
      <c r="E112" s="83" t="s">
        <v>463</v>
      </c>
      <c r="F112" s="83"/>
      <c r="G112" s="83"/>
      <c r="H112" s="83" t="s">
        <v>464</v>
      </c>
      <c r="I112" s="83" t="s">
        <v>21</v>
      </c>
      <c r="J112" s="83">
        <v>78</v>
      </c>
      <c r="K112" s="83" t="s">
        <v>23</v>
      </c>
      <c r="L112" s="83">
        <v>20200706</v>
      </c>
      <c r="M112" s="83"/>
      <c r="N112" s="83"/>
      <c r="O112" s="99"/>
      <c r="Q112" s="83">
        <v>40.61</v>
      </c>
      <c r="R112" s="83">
        <v>1.41</v>
      </c>
      <c r="S112" s="83">
        <v>0.5</v>
      </c>
      <c r="T112" s="83">
        <v>30</v>
      </c>
      <c r="U112" s="83">
        <v>1218.4000000000001</v>
      </c>
      <c r="V112" s="83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5"/>
      <c r="AR112" s="84"/>
      <c r="AS112" s="84"/>
      <c r="AT112" s="84"/>
      <c r="AU112" s="84"/>
      <c r="AV112" s="84"/>
      <c r="AW112" s="84"/>
      <c r="AX112" s="84"/>
      <c r="AY112" s="84"/>
      <c r="AZ112" s="84"/>
      <c r="BA112" s="85"/>
      <c r="BB112" s="83" t="s">
        <v>21</v>
      </c>
      <c r="BC112" s="83"/>
    </row>
    <row r="113" spans="1:55">
      <c r="A113" s="83" t="s">
        <v>214</v>
      </c>
      <c r="B113" s="83">
        <v>86</v>
      </c>
      <c r="C113" s="83">
        <v>86</v>
      </c>
      <c r="D113" s="83" t="s">
        <v>465</v>
      </c>
      <c r="E113" s="83" t="s">
        <v>466</v>
      </c>
      <c r="F113" s="83"/>
      <c r="G113" s="83"/>
      <c r="H113" s="83" t="s">
        <v>467</v>
      </c>
      <c r="I113" s="83" t="s">
        <v>21</v>
      </c>
      <c r="J113" s="83">
        <v>80</v>
      </c>
      <c r="K113" s="83" t="s">
        <v>23</v>
      </c>
      <c r="L113" s="83">
        <v>20190129</v>
      </c>
      <c r="M113" s="83"/>
      <c r="N113" s="83"/>
      <c r="O113" s="99"/>
      <c r="Q113" s="83">
        <v>21.67</v>
      </c>
      <c r="R113" s="83">
        <v>1.3</v>
      </c>
      <c r="S113" s="83">
        <v>0.41</v>
      </c>
      <c r="T113" s="83">
        <v>30</v>
      </c>
      <c r="U113" s="83">
        <v>650.1</v>
      </c>
      <c r="V113" s="83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5"/>
      <c r="AR113" s="84"/>
      <c r="AS113" s="84"/>
      <c r="AT113" s="84"/>
      <c r="AU113" s="84"/>
      <c r="AV113" s="84"/>
      <c r="AW113" s="84"/>
      <c r="AX113" s="84"/>
      <c r="AY113" s="84"/>
      <c r="AZ113" s="84"/>
      <c r="BA113" s="85"/>
      <c r="BB113" s="83" t="s">
        <v>21</v>
      </c>
      <c r="BC113" s="83"/>
    </row>
    <row r="114" spans="1:55">
      <c r="A114" s="83" t="s">
        <v>214</v>
      </c>
      <c r="B114" s="83">
        <v>87</v>
      </c>
      <c r="C114" s="83">
        <v>87</v>
      </c>
      <c r="D114" s="83" t="s">
        <v>468</v>
      </c>
      <c r="E114" s="83" t="s">
        <v>469</v>
      </c>
      <c r="F114" s="83"/>
      <c r="G114" s="83"/>
      <c r="H114" s="83" t="s">
        <v>470</v>
      </c>
      <c r="I114" s="83" t="s">
        <v>21</v>
      </c>
      <c r="J114" s="83">
        <v>81</v>
      </c>
      <c r="K114" s="83" t="s">
        <v>23</v>
      </c>
      <c r="L114" s="83">
        <v>20201210</v>
      </c>
      <c r="M114" s="83"/>
      <c r="N114" s="83"/>
      <c r="O114" s="99"/>
      <c r="Q114" s="83">
        <v>26.63</v>
      </c>
      <c r="R114" s="83">
        <v>1.36</v>
      </c>
      <c r="S114" s="83">
        <v>0.45</v>
      </c>
      <c r="T114" s="83">
        <v>30</v>
      </c>
      <c r="U114" s="83">
        <v>798.9</v>
      </c>
      <c r="V114" s="83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5"/>
      <c r="AR114" s="84"/>
      <c r="AS114" s="84"/>
      <c r="AT114" s="84"/>
      <c r="AU114" s="84"/>
      <c r="AV114" s="84"/>
      <c r="AW114" s="84"/>
      <c r="AX114" s="84"/>
      <c r="AY114" s="84"/>
      <c r="AZ114" s="84"/>
      <c r="BA114" s="85"/>
      <c r="BB114" s="83" t="s">
        <v>21</v>
      </c>
      <c r="BC114" s="83"/>
    </row>
    <row r="115" spans="1:55">
      <c r="A115" s="83" t="s">
        <v>214</v>
      </c>
      <c r="B115" s="83">
        <v>88</v>
      </c>
      <c r="C115" s="83">
        <v>88</v>
      </c>
      <c r="D115" s="83" t="s">
        <v>471</v>
      </c>
      <c r="E115" s="83" t="s">
        <v>472</v>
      </c>
      <c r="F115" s="83"/>
      <c r="G115" s="83"/>
      <c r="H115" s="83" t="s">
        <v>473</v>
      </c>
      <c r="I115" s="83" t="s">
        <v>21</v>
      </c>
      <c r="J115" s="83">
        <v>83</v>
      </c>
      <c r="K115" s="83" t="s">
        <v>23</v>
      </c>
      <c r="L115" s="83">
        <v>20210125</v>
      </c>
      <c r="M115" s="83"/>
      <c r="N115" s="83"/>
      <c r="O115" s="99"/>
      <c r="Q115" s="83">
        <v>26.85</v>
      </c>
      <c r="R115" s="83">
        <v>1.36</v>
      </c>
      <c r="S115" s="83">
        <v>0.45</v>
      </c>
      <c r="T115" s="83">
        <v>30</v>
      </c>
      <c r="U115" s="83">
        <v>805.5</v>
      </c>
      <c r="V115" s="83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5"/>
      <c r="AR115" s="84"/>
      <c r="AS115" s="84"/>
      <c r="AT115" s="84"/>
      <c r="AU115" s="84"/>
      <c r="AV115" s="84"/>
      <c r="AW115" s="84"/>
      <c r="AX115" s="84"/>
      <c r="AY115" s="84"/>
      <c r="AZ115" s="84"/>
      <c r="BA115" s="85"/>
      <c r="BB115" s="83" t="s">
        <v>21</v>
      </c>
      <c r="BC115" s="83"/>
    </row>
    <row r="116" spans="1:55">
      <c r="A116" s="83" t="s">
        <v>214</v>
      </c>
      <c r="B116" s="83">
        <v>89</v>
      </c>
      <c r="C116" s="83">
        <v>89</v>
      </c>
      <c r="D116" s="83" t="s">
        <v>474</v>
      </c>
      <c r="E116" s="83" t="s">
        <v>475</v>
      </c>
      <c r="F116" s="83"/>
      <c r="G116" s="83"/>
      <c r="H116" s="83" t="s">
        <v>476</v>
      </c>
      <c r="I116" s="83" t="s">
        <v>21</v>
      </c>
      <c r="J116" s="83">
        <v>84</v>
      </c>
      <c r="K116" s="83" t="s">
        <v>23</v>
      </c>
      <c r="L116" s="83">
        <v>20201020</v>
      </c>
      <c r="M116" s="83"/>
      <c r="N116" s="83"/>
      <c r="O116" s="99"/>
      <c r="Q116" s="83">
        <v>15.21</v>
      </c>
      <c r="R116" s="83">
        <v>1.28</v>
      </c>
      <c r="S116" s="83">
        <v>0.41</v>
      </c>
      <c r="T116" s="83">
        <v>30</v>
      </c>
      <c r="U116" s="83">
        <v>456.2</v>
      </c>
      <c r="V116" s="83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5"/>
      <c r="AR116" s="84"/>
      <c r="AS116" s="84"/>
      <c r="AT116" s="84"/>
      <c r="AU116" s="84"/>
      <c r="AV116" s="84"/>
      <c r="AW116" s="84"/>
      <c r="AX116" s="84"/>
      <c r="AY116" s="84"/>
      <c r="AZ116" s="84"/>
      <c r="BA116" s="85"/>
      <c r="BB116" s="83" t="s">
        <v>21</v>
      </c>
      <c r="BC116" s="83"/>
    </row>
    <row r="117" spans="1:55">
      <c r="A117" s="83" t="s">
        <v>214</v>
      </c>
      <c r="B117" s="83">
        <v>90</v>
      </c>
      <c r="C117" s="83">
        <v>90</v>
      </c>
      <c r="D117" s="83" t="s">
        <v>477</v>
      </c>
      <c r="E117" s="83" t="s">
        <v>478</v>
      </c>
      <c r="F117" s="83"/>
      <c r="G117" s="83"/>
      <c r="H117" s="83" t="s">
        <v>479</v>
      </c>
      <c r="I117" s="83" t="s">
        <v>21</v>
      </c>
      <c r="J117" s="83">
        <v>71</v>
      </c>
      <c r="K117" s="83" t="s">
        <v>23</v>
      </c>
      <c r="L117" s="83">
        <v>20200909</v>
      </c>
      <c r="M117" s="83"/>
      <c r="N117" s="83"/>
      <c r="O117" s="99"/>
      <c r="Q117" s="83">
        <v>14.56</v>
      </c>
      <c r="R117" s="83">
        <v>1.29</v>
      </c>
      <c r="S117" s="83">
        <v>0.39</v>
      </c>
      <c r="T117" s="83">
        <v>30</v>
      </c>
      <c r="U117" s="83">
        <v>436.9</v>
      </c>
      <c r="V117" s="83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5"/>
      <c r="AR117" s="84"/>
      <c r="AS117" s="84"/>
      <c r="AT117" s="84"/>
      <c r="AU117" s="84"/>
      <c r="AV117" s="84"/>
      <c r="AW117" s="84"/>
      <c r="AX117" s="84"/>
      <c r="AY117" s="84"/>
      <c r="AZ117" s="84"/>
      <c r="BA117" s="85"/>
      <c r="BB117" s="83" t="s">
        <v>21</v>
      </c>
      <c r="BC117" s="83"/>
    </row>
    <row r="118" spans="1:55">
      <c r="A118" s="83" t="s">
        <v>214</v>
      </c>
      <c r="B118" s="83">
        <v>91</v>
      </c>
      <c r="C118" s="83">
        <v>91</v>
      </c>
      <c r="D118" s="83" t="s">
        <v>480</v>
      </c>
      <c r="E118" s="83" t="s">
        <v>481</v>
      </c>
      <c r="F118" s="83"/>
      <c r="G118" s="83"/>
      <c r="H118" s="83" t="s">
        <v>482</v>
      </c>
      <c r="I118" s="83" t="s">
        <v>21</v>
      </c>
      <c r="J118" s="83">
        <v>78</v>
      </c>
      <c r="K118" s="83" t="s">
        <v>23</v>
      </c>
      <c r="L118" s="83">
        <v>20190930</v>
      </c>
      <c r="M118" s="83"/>
      <c r="N118" s="83"/>
      <c r="O118" s="99"/>
      <c r="Q118" s="83">
        <v>17.03</v>
      </c>
      <c r="R118" s="83">
        <v>1.29</v>
      </c>
      <c r="S118" s="83">
        <v>0.4</v>
      </c>
      <c r="T118" s="83">
        <v>30</v>
      </c>
      <c r="U118" s="83">
        <v>511</v>
      </c>
      <c r="V118" s="83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5"/>
      <c r="AR118" s="84"/>
      <c r="AS118" s="84"/>
      <c r="AT118" s="84"/>
      <c r="AU118" s="84"/>
      <c r="AV118" s="84"/>
      <c r="AW118" s="84"/>
      <c r="AX118" s="84"/>
      <c r="AY118" s="84"/>
      <c r="AZ118" s="84"/>
      <c r="BA118" s="85"/>
      <c r="BB118" s="83" t="s">
        <v>21</v>
      </c>
      <c r="BC118" s="83"/>
    </row>
    <row r="119" spans="1:55">
      <c r="A119" s="83" t="s">
        <v>214</v>
      </c>
      <c r="B119" s="83">
        <v>92</v>
      </c>
      <c r="C119" s="83">
        <v>92</v>
      </c>
      <c r="D119" s="83" t="s">
        <v>483</v>
      </c>
      <c r="E119" s="83" t="s">
        <v>484</v>
      </c>
      <c r="F119" s="83"/>
      <c r="G119" s="83"/>
      <c r="H119" s="83" t="s">
        <v>485</v>
      </c>
      <c r="I119" s="83" t="s">
        <v>21</v>
      </c>
      <c r="J119" s="83">
        <v>80</v>
      </c>
      <c r="K119" s="83" t="s">
        <v>23</v>
      </c>
      <c r="L119" s="83">
        <v>20201110</v>
      </c>
      <c r="M119" s="83"/>
      <c r="N119" s="83"/>
      <c r="O119" s="99"/>
      <c r="Q119" s="83">
        <v>15.21</v>
      </c>
      <c r="R119" s="83">
        <v>1.24</v>
      </c>
      <c r="S119" s="83">
        <v>0.39</v>
      </c>
      <c r="T119" s="83">
        <v>30</v>
      </c>
      <c r="U119" s="83">
        <v>456.4</v>
      </c>
      <c r="V119" s="83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5"/>
      <c r="AR119" s="84"/>
      <c r="AS119" s="84"/>
      <c r="AT119" s="84"/>
      <c r="AU119" s="84"/>
      <c r="AV119" s="84"/>
      <c r="AW119" s="84"/>
      <c r="AX119" s="84"/>
      <c r="AY119" s="84"/>
      <c r="AZ119" s="84"/>
      <c r="BA119" s="85"/>
      <c r="BB119" s="83" t="s">
        <v>21</v>
      </c>
      <c r="BC119" s="83"/>
    </row>
    <row r="120" spans="1:55">
      <c r="A120" s="83" t="s">
        <v>214</v>
      </c>
      <c r="B120" s="83">
        <v>93</v>
      </c>
      <c r="C120" s="83">
        <v>93</v>
      </c>
      <c r="D120" s="83" t="s">
        <v>486</v>
      </c>
      <c r="E120" s="83" t="s">
        <v>487</v>
      </c>
      <c r="F120" s="83"/>
      <c r="G120" s="83"/>
      <c r="H120" s="83" t="s">
        <v>488</v>
      </c>
      <c r="I120" s="83" t="s">
        <v>21</v>
      </c>
      <c r="J120" s="83">
        <v>80</v>
      </c>
      <c r="K120" s="83" t="s">
        <v>23</v>
      </c>
      <c r="L120" s="83">
        <v>20191007</v>
      </c>
      <c r="M120" s="83"/>
      <c r="N120" s="83"/>
      <c r="O120" s="99"/>
      <c r="Q120" s="83">
        <v>32.56</v>
      </c>
      <c r="R120" s="83">
        <v>1.36</v>
      </c>
      <c r="S120" s="83">
        <v>0.47</v>
      </c>
      <c r="T120" s="83">
        <v>30</v>
      </c>
      <c r="U120" s="83">
        <v>976.7</v>
      </c>
      <c r="V120" s="83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5"/>
      <c r="AR120" s="84"/>
      <c r="AS120" s="84"/>
      <c r="AT120" s="84"/>
      <c r="AU120" s="84"/>
      <c r="AV120" s="84"/>
      <c r="AW120" s="84"/>
      <c r="AX120" s="84"/>
      <c r="AY120" s="84"/>
      <c r="AZ120" s="84"/>
      <c r="BA120" s="85"/>
      <c r="BB120" s="83" t="s">
        <v>21</v>
      </c>
      <c r="BC120" s="83"/>
    </row>
    <row r="121" spans="1:55">
      <c r="A121" s="83" t="s">
        <v>214</v>
      </c>
      <c r="B121" s="83">
        <v>94</v>
      </c>
      <c r="C121" s="83">
        <v>94</v>
      </c>
      <c r="D121" s="83" t="s">
        <v>489</v>
      </c>
      <c r="E121" s="83" t="s">
        <v>490</v>
      </c>
      <c r="F121" s="83"/>
      <c r="G121" s="83"/>
      <c r="H121" s="83" t="s">
        <v>491</v>
      </c>
      <c r="I121" s="83" t="s">
        <v>21</v>
      </c>
      <c r="J121" s="83">
        <v>81</v>
      </c>
      <c r="K121" s="83" t="s">
        <v>23</v>
      </c>
      <c r="L121" s="83">
        <v>20210201</v>
      </c>
      <c r="M121" s="83"/>
      <c r="N121" s="83"/>
      <c r="O121" s="99"/>
      <c r="Q121" s="83">
        <v>15.86</v>
      </c>
      <c r="R121" s="83">
        <v>1.29</v>
      </c>
      <c r="S121" s="83">
        <v>0.41</v>
      </c>
      <c r="T121" s="83">
        <v>30</v>
      </c>
      <c r="U121" s="83">
        <v>475.8</v>
      </c>
      <c r="V121" s="83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5"/>
      <c r="AR121" s="84"/>
      <c r="AS121" s="84"/>
      <c r="AT121" s="84"/>
      <c r="AU121" s="84"/>
      <c r="AV121" s="84"/>
      <c r="AW121" s="84"/>
      <c r="AX121" s="84"/>
      <c r="AY121" s="84"/>
      <c r="AZ121" s="84"/>
      <c r="BA121" s="85"/>
      <c r="BB121" s="83" t="s">
        <v>21</v>
      </c>
      <c r="BC121" s="83"/>
    </row>
    <row r="122" spans="1:55">
      <c r="A122" s="83" t="s">
        <v>214</v>
      </c>
      <c r="B122" s="83">
        <v>95</v>
      </c>
      <c r="C122" s="83">
        <v>95</v>
      </c>
      <c r="D122" s="83" t="s">
        <v>492</v>
      </c>
      <c r="E122" s="83" t="s">
        <v>493</v>
      </c>
      <c r="F122" s="83"/>
      <c r="G122" s="83"/>
      <c r="H122" s="83" t="s">
        <v>494</v>
      </c>
      <c r="I122" s="83" t="s">
        <v>21</v>
      </c>
      <c r="J122" s="83">
        <v>82</v>
      </c>
      <c r="K122" s="83" t="s">
        <v>23</v>
      </c>
      <c r="L122" s="83">
        <v>20190422</v>
      </c>
      <c r="M122" s="83"/>
      <c r="N122" s="83"/>
      <c r="O122" s="99"/>
      <c r="Q122" s="83">
        <v>12.1</v>
      </c>
      <c r="R122" s="83">
        <v>1.24</v>
      </c>
      <c r="S122" s="83">
        <v>0.38</v>
      </c>
      <c r="T122" s="83">
        <v>30</v>
      </c>
      <c r="U122" s="83">
        <v>362.9</v>
      </c>
      <c r="V122" s="83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5"/>
      <c r="AR122" s="84"/>
      <c r="AS122" s="84"/>
      <c r="AT122" s="84"/>
      <c r="AU122" s="84"/>
      <c r="AV122" s="84"/>
      <c r="AW122" s="84"/>
      <c r="AX122" s="84"/>
      <c r="AY122" s="84"/>
      <c r="AZ122" s="84"/>
      <c r="BA122" s="85"/>
      <c r="BB122" s="83" t="s">
        <v>21</v>
      </c>
      <c r="BC122" s="83"/>
    </row>
    <row r="123" spans="1:55">
      <c r="A123" s="83" t="s">
        <v>214</v>
      </c>
      <c r="B123" s="83">
        <v>96</v>
      </c>
      <c r="C123" s="83">
        <v>96</v>
      </c>
      <c r="D123" s="83" t="s">
        <v>495</v>
      </c>
      <c r="E123" s="83" t="s">
        <v>496</v>
      </c>
      <c r="F123" s="83"/>
      <c r="G123" s="83"/>
      <c r="H123" s="83" t="s">
        <v>497</v>
      </c>
      <c r="I123" s="83" t="s">
        <v>21</v>
      </c>
      <c r="J123" s="83">
        <v>66</v>
      </c>
      <c r="K123" s="83" t="s">
        <v>23</v>
      </c>
      <c r="L123" s="83"/>
      <c r="M123" s="83"/>
      <c r="N123" s="83"/>
      <c r="O123" s="99"/>
      <c r="Q123" s="83">
        <v>28.63</v>
      </c>
      <c r="R123" s="83">
        <v>1.34</v>
      </c>
      <c r="S123" s="83">
        <v>0.46</v>
      </c>
      <c r="T123" s="83">
        <v>30</v>
      </c>
      <c r="U123" s="83">
        <v>858.8</v>
      </c>
      <c r="V123" s="83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5"/>
      <c r="AR123" s="84"/>
      <c r="AS123" s="84"/>
      <c r="AT123" s="84"/>
      <c r="AU123" s="84"/>
      <c r="AV123" s="84"/>
      <c r="AW123" s="84"/>
      <c r="AX123" s="84"/>
      <c r="AY123" s="84"/>
      <c r="AZ123" s="84"/>
      <c r="BA123" s="85"/>
      <c r="BB123" s="83" t="s">
        <v>21</v>
      </c>
      <c r="BC123" s="83"/>
    </row>
    <row r="124" spans="1:55">
      <c r="A124" s="83" t="s">
        <v>214</v>
      </c>
      <c r="B124" s="83">
        <v>97</v>
      </c>
      <c r="C124" s="83">
        <v>97</v>
      </c>
      <c r="D124" s="83" t="s">
        <v>498</v>
      </c>
      <c r="E124" s="83" t="s">
        <v>499</v>
      </c>
      <c r="F124" s="83"/>
      <c r="G124" s="83"/>
      <c r="H124" s="83" t="s">
        <v>500</v>
      </c>
      <c r="I124" s="83" t="s">
        <v>21</v>
      </c>
      <c r="J124" s="83">
        <v>73</v>
      </c>
      <c r="K124" s="83" t="s">
        <v>23</v>
      </c>
      <c r="L124" s="83"/>
      <c r="M124" s="83"/>
      <c r="N124" s="83"/>
      <c r="O124" s="99"/>
      <c r="Q124" s="83">
        <v>32.96</v>
      </c>
      <c r="R124" s="83">
        <v>1.4</v>
      </c>
      <c r="S124" s="83">
        <v>0.48</v>
      </c>
      <c r="T124" s="83">
        <v>30</v>
      </c>
      <c r="U124" s="83">
        <v>988.7</v>
      </c>
      <c r="V124" s="83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5"/>
      <c r="AR124" s="84"/>
      <c r="AS124" s="84"/>
      <c r="AT124" s="84"/>
      <c r="AU124" s="84"/>
      <c r="AV124" s="84"/>
      <c r="AW124" s="84"/>
      <c r="AX124" s="84"/>
      <c r="AY124" s="84"/>
      <c r="AZ124" s="84"/>
      <c r="BA124" s="85"/>
      <c r="BB124" s="83" t="s">
        <v>21</v>
      </c>
      <c r="BC124" s="83"/>
    </row>
    <row r="125" spans="1:55">
      <c r="A125" s="83" t="s">
        <v>214</v>
      </c>
      <c r="B125" s="83">
        <v>98</v>
      </c>
      <c r="C125" s="83">
        <v>98</v>
      </c>
      <c r="D125" s="83" t="s">
        <v>501</v>
      </c>
      <c r="E125" s="83" t="s">
        <v>502</v>
      </c>
      <c r="F125" s="83"/>
      <c r="G125" s="83"/>
      <c r="H125" s="83" t="s">
        <v>503</v>
      </c>
      <c r="I125" s="83" t="s">
        <v>21</v>
      </c>
      <c r="J125" s="83">
        <v>80</v>
      </c>
      <c r="K125" s="83" t="s">
        <v>23</v>
      </c>
      <c r="L125" s="83">
        <v>20200908</v>
      </c>
      <c r="M125" s="83"/>
      <c r="N125" s="83"/>
      <c r="O125" s="99"/>
      <c r="Q125" s="83">
        <v>36.450000000000003</v>
      </c>
      <c r="R125" s="83">
        <v>1.38</v>
      </c>
      <c r="S125" s="83">
        <v>0.48</v>
      </c>
      <c r="T125" s="83">
        <v>30</v>
      </c>
      <c r="U125" s="83">
        <v>1093.5999999999999</v>
      </c>
      <c r="V125" s="83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5"/>
      <c r="AR125" s="84"/>
      <c r="AS125" s="84"/>
      <c r="AT125" s="84"/>
      <c r="AU125" s="84"/>
      <c r="AV125" s="84"/>
      <c r="AW125" s="84"/>
      <c r="AX125" s="84"/>
      <c r="AY125" s="84"/>
      <c r="AZ125" s="84"/>
      <c r="BA125" s="85"/>
      <c r="BB125" s="83" t="s">
        <v>21</v>
      </c>
      <c r="BC125" s="83"/>
    </row>
    <row r="126" spans="1:55">
      <c r="A126" s="83" t="s">
        <v>214</v>
      </c>
      <c r="B126" s="83">
        <v>99</v>
      </c>
      <c r="C126" s="83">
        <v>99</v>
      </c>
      <c r="D126" s="83" t="s">
        <v>501</v>
      </c>
      <c r="E126" s="83" t="s">
        <v>502</v>
      </c>
      <c r="F126" s="83"/>
      <c r="G126" s="83"/>
      <c r="H126" s="83" t="s">
        <v>504</v>
      </c>
      <c r="I126" s="83" t="s">
        <v>21</v>
      </c>
      <c r="J126" s="83">
        <v>80</v>
      </c>
      <c r="K126" s="83" t="s">
        <v>23</v>
      </c>
      <c r="L126" s="83">
        <v>20200908</v>
      </c>
      <c r="M126" s="83"/>
      <c r="N126" s="83"/>
      <c r="O126" s="99"/>
      <c r="Q126" s="83">
        <v>27.53</v>
      </c>
      <c r="R126" s="83">
        <v>1.35</v>
      </c>
      <c r="S126" s="83">
        <v>0.44</v>
      </c>
      <c r="T126" s="83">
        <v>30</v>
      </c>
      <c r="U126" s="83">
        <v>825.9</v>
      </c>
      <c r="V126" s="83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5"/>
      <c r="AR126" s="84"/>
      <c r="AS126" s="84"/>
      <c r="AT126" s="84"/>
      <c r="AU126" s="84"/>
      <c r="AV126" s="84"/>
      <c r="AW126" s="84"/>
      <c r="AX126" s="84"/>
      <c r="AY126" s="84"/>
      <c r="AZ126" s="84"/>
      <c r="BA126" s="85"/>
      <c r="BB126" s="83" t="s">
        <v>21</v>
      </c>
      <c r="BC126" s="83"/>
    </row>
    <row r="127" spans="1:55">
      <c r="A127" s="83" t="s">
        <v>214</v>
      </c>
      <c r="B127" s="83">
        <v>100</v>
      </c>
      <c r="C127" s="83">
        <v>100</v>
      </c>
      <c r="D127" s="83" t="s">
        <v>505</v>
      </c>
      <c r="E127" s="83" t="s">
        <v>506</v>
      </c>
      <c r="F127" s="83"/>
      <c r="G127" s="83"/>
      <c r="H127" s="83" t="s">
        <v>507</v>
      </c>
      <c r="I127" s="83" t="s">
        <v>21</v>
      </c>
      <c r="J127" s="83">
        <v>80</v>
      </c>
      <c r="K127" s="83" t="s">
        <v>23</v>
      </c>
      <c r="L127" s="83">
        <v>20190619</v>
      </c>
      <c r="M127" s="83"/>
      <c r="N127" s="83"/>
      <c r="O127" s="99"/>
      <c r="Q127" s="83">
        <v>35.700000000000003</v>
      </c>
      <c r="R127" s="83">
        <v>1.39</v>
      </c>
      <c r="S127" s="83">
        <v>0.47</v>
      </c>
      <c r="T127" s="83">
        <v>30</v>
      </c>
      <c r="U127" s="83">
        <v>1071.0999999999999</v>
      </c>
      <c r="V127" s="83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5"/>
      <c r="AR127" s="84"/>
      <c r="AS127" s="84"/>
      <c r="AT127" s="84"/>
      <c r="AU127" s="84"/>
      <c r="AV127" s="84"/>
      <c r="AW127" s="84"/>
      <c r="AX127" s="84"/>
      <c r="AY127" s="84"/>
      <c r="AZ127" s="84"/>
      <c r="BA127" s="85"/>
      <c r="BB127" s="83" t="s">
        <v>21</v>
      </c>
      <c r="BC127" s="83"/>
    </row>
    <row r="128" spans="1:55">
      <c r="A128" s="83" t="s">
        <v>214</v>
      </c>
      <c r="B128" s="83">
        <v>101</v>
      </c>
      <c r="C128" s="83">
        <v>1</v>
      </c>
      <c r="D128" s="83" t="s">
        <v>508</v>
      </c>
      <c r="E128" s="83" t="s">
        <v>509</v>
      </c>
      <c r="F128" s="83"/>
      <c r="G128" s="83"/>
      <c r="H128" s="83" t="s">
        <v>510</v>
      </c>
      <c r="I128" s="83" t="s">
        <v>21</v>
      </c>
      <c r="J128" s="83">
        <v>80</v>
      </c>
      <c r="K128" s="83" t="s">
        <v>23</v>
      </c>
      <c r="L128" s="83">
        <v>20200610</v>
      </c>
      <c r="M128" s="83"/>
      <c r="N128" s="83"/>
      <c r="O128" s="99"/>
      <c r="Q128" s="83">
        <v>26.52</v>
      </c>
      <c r="R128" s="83">
        <v>1.35</v>
      </c>
      <c r="S128" s="83">
        <v>0.43</v>
      </c>
      <c r="T128" s="83">
        <v>30</v>
      </c>
      <c r="U128" s="83">
        <v>795.5</v>
      </c>
      <c r="V128" s="83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5"/>
      <c r="AR128" s="84"/>
      <c r="AS128" s="84"/>
      <c r="AT128" s="84"/>
      <c r="AU128" s="84"/>
      <c r="AV128" s="84"/>
      <c r="AW128" s="84"/>
      <c r="AX128" s="84"/>
      <c r="AY128" s="84"/>
      <c r="AZ128" s="84"/>
      <c r="BA128" s="85"/>
      <c r="BB128" s="83" t="s">
        <v>21</v>
      </c>
      <c r="BC128" s="83"/>
    </row>
    <row r="129" spans="1:55">
      <c r="A129" s="83" t="s">
        <v>214</v>
      </c>
      <c r="B129" s="83">
        <v>102</v>
      </c>
      <c r="C129" s="83">
        <v>2</v>
      </c>
      <c r="D129" s="83" t="s">
        <v>511</v>
      </c>
      <c r="E129" s="83" t="s">
        <v>512</v>
      </c>
      <c r="F129" s="83"/>
      <c r="G129" s="83"/>
      <c r="H129" s="83" t="s">
        <v>513</v>
      </c>
      <c r="I129" s="83" t="s">
        <v>21</v>
      </c>
      <c r="J129" s="83">
        <v>85</v>
      </c>
      <c r="K129" s="83" t="s">
        <v>23</v>
      </c>
      <c r="L129" s="83">
        <v>20210302</v>
      </c>
      <c r="M129" s="83"/>
      <c r="N129" s="83"/>
      <c r="O129" s="99"/>
      <c r="Q129" s="83">
        <v>22.76</v>
      </c>
      <c r="R129" s="83">
        <v>1.34</v>
      </c>
      <c r="S129" s="83">
        <v>0.41</v>
      </c>
      <c r="T129" s="83">
        <v>30</v>
      </c>
      <c r="U129" s="83">
        <v>682.8</v>
      </c>
      <c r="V129" s="83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5"/>
      <c r="AR129" s="84"/>
      <c r="AS129" s="84"/>
      <c r="AT129" s="84"/>
      <c r="AU129" s="84"/>
      <c r="AV129" s="84"/>
      <c r="AW129" s="84"/>
      <c r="AX129" s="84"/>
      <c r="AY129" s="84"/>
      <c r="AZ129" s="84"/>
      <c r="BA129" s="85"/>
      <c r="BB129" s="83" t="s">
        <v>21</v>
      </c>
      <c r="BC129" s="83"/>
    </row>
    <row r="130" spans="1:55">
      <c r="A130" s="83" t="s">
        <v>214</v>
      </c>
      <c r="B130" s="83">
        <v>103</v>
      </c>
      <c r="C130" s="83">
        <v>3</v>
      </c>
      <c r="D130" s="83" t="s">
        <v>514</v>
      </c>
      <c r="E130" s="83" t="s">
        <v>512</v>
      </c>
      <c r="F130" s="83"/>
      <c r="G130" s="83"/>
      <c r="H130" s="83" t="s">
        <v>515</v>
      </c>
      <c r="I130" s="83" t="s">
        <v>21</v>
      </c>
      <c r="J130" s="83">
        <v>85</v>
      </c>
      <c r="K130" s="83" t="s">
        <v>23</v>
      </c>
      <c r="L130" s="83">
        <v>20210302</v>
      </c>
      <c r="M130" s="83"/>
      <c r="N130" s="83"/>
      <c r="O130" s="99"/>
      <c r="Q130" s="83">
        <v>26.16</v>
      </c>
      <c r="R130" s="83">
        <v>1.36</v>
      </c>
      <c r="S130" s="83">
        <v>0.43</v>
      </c>
      <c r="T130" s="83">
        <v>30</v>
      </c>
      <c r="U130" s="83">
        <v>784.9</v>
      </c>
      <c r="V130" s="83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5"/>
      <c r="AR130" s="84"/>
      <c r="AS130" s="84"/>
      <c r="AT130" s="84"/>
      <c r="AU130" s="84"/>
      <c r="AV130" s="84"/>
      <c r="AW130" s="84"/>
      <c r="AX130" s="84"/>
      <c r="AY130" s="84"/>
      <c r="AZ130" s="84"/>
      <c r="BA130" s="85"/>
      <c r="BB130" s="83" t="s">
        <v>21</v>
      </c>
      <c r="BC130" s="83"/>
    </row>
    <row r="131" spans="1:55">
      <c r="A131" s="83" t="s">
        <v>214</v>
      </c>
      <c r="B131" s="83">
        <v>104</v>
      </c>
      <c r="C131" s="83">
        <v>4</v>
      </c>
      <c r="D131" s="83" t="s">
        <v>516</v>
      </c>
      <c r="E131" s="83" t="s">
        <v>517</v>
      </c>
      <c r="F131" s="83"/>
      <c r="G131" s="83"/>
      <c r="H131" s="83" t="s">
        <v>518</v>
      </c>
      <c r="I131" s="83" t="s">
        <v>21</v>
      </c>
      <c r="J131" s="83">
        <v>88</v>
      </c>
      <c r="K131" s="83" t="s">
        <v>23</v>
      </c>
      <c r="L131" s="83">
        <v>20200928</v>
      </c>
      <c r="M131" s="83"/>
      <c r="N131" s="83"/>
      <c r="O131" s="99"/>
      <c r="Q131" s="83">
        <v>16.940000000000001</v>
      </c>
      <c r="R131" s="83">
        <v>1.32</v>
      </c>
      <c r="S131" s="83">
        <v>0.42</v>
      </c>
      <c r="T131" s="83">
        <v>30</v>
      </c>
      <c r="U131" s="83">
        <v>508.3</v>
      </c>
      <c r="V131" s="83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5"/>
      <c r="AR131" s="84"/>
      <c r="AS131" s="84"/>
      <c r="AT131" s="84"/>
      <c r="AU131" s="84"/>
      <c r="AV131" s="84"/>
      <c r="AW131" s="84"/>
      <c r="AX131" s="84"/>
      <c r="AY131" s="84"/>
      <c r="AZ131" s="84"/>
      <c r="BA131" s="85"/>
      <c r="BB131" s="83" t="s">
        <v>21</v>
      </c>
      <c r="BC131" s="83"/>
    </row>
    <row r="132" spans="1:55">
      <c r="A132" s="83" t="s">
        <v>214</v>
      </c>
      <c r="B132" s="83">
        <v>105</v>
      </c>
      <c r="C132" s="83">
        <v>5</v>
      </c>
      <c r="D132" s="83" t="s">
        <v>519</v>
      </c>
      <c r="E132" s="83" t="s">
        <v>520</v>
      </c>
      <c r="F132" s="83"/>
      <c r="G132" s="83"/>
      <c r="H132" s="83" t="s">
        <v>521</v>
      </c>
      <c r="I132" s="83" t="s">
        <v>21</v>
      </c>
      <c r="J132" s="83">
        <v>77</v>
      </c>
      <c r="K132" s="83" t="s">
        <v>22</v>
      </c>
      <c r="L132" s="83">
        <v>20210210</v>
      </c>
      <c r="M132" s="83"/>
      <c r="N132" s="83"/>
      <c r="O132" s="99"/>
      <c r="Q132" s="83">
        <v>29.52</v>
      </c>
      <c r="R132" s="83">
        <v>1.39</v>
      </c>
      <c r="S132" s="83">
        <v>0.45</v>
      </c>
      <c r="T132" s="83">
        <v>30</v>
      </c>
      <c r="U132" s="83">
        <v>885.5</v>
      </c>
      <c r="V132" s="83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5"/>
      <c r="AR132" s="84"/>
      <c r="AS132" s="84"/>
      <c r="AT132" s="84"/>
      <c r="AU132" s="84"/>
      <c r="AV132" s="84"/>
      <c r="AW132" s="84"/>
      <c r="AX132" s="84"/>
      <c r="AY132" s="84"/>
      <c r="AZ132" s="84"/>
      <c r="BA132" s="85"/>
      <c r="BB132" s="83" t="s">
        <v>21</v>
      </c>
      <c r="BC132" s="83"/>
    </row>
    <row r="133" spans="1:55">
      <c r="A133" s="83" t="s">
        <v>214</v>
      </c>
      <c r="B133" s="83">
        <v>106</v>
      </c>
      <c r="C133" s="83" t="s">
        <v>522</v>
      </c>
      <c r="D133" s="83" t="s">
        <v>145</v>
      </c>
      <c r="E133" s="83" t="s">
        <v>523</v>
      </c>
      <c r="F133" s="83"/>
      <c r="G133" s="83"/>
      <c r="H133" s="83" t="s">
        <v>524</v>
      </c>
      <c r="I133" s="83" t="s">
        <v>24</v>
      </c>
      <c r="J133" s="83">
        <v>67</v>
      </c>
      <c r="K133" s="83" t="s">
        <v>23</v>
      </c>
      <c r="L133" s="95">
        <v>44134</v>
      </c>
      <c r="M133" s="83"/>
      <c r="N133" s="83"/>
      <c r="O133" s="99">
        <f t="shared" ref="O133:O162" si="2">BC133</f>
        <v>36.1</v>
      </c>
      <c r="Q133" s="83">
        <v>44.86</v>
      </c>
      <c r="R133" s="83">
        <v>1.41</v>
      </c>
      <c r="S133" s="83">
        <v>0.48</v>
      </c>
      <c r="T133" s="83">
        <v>30</v>
      </c>
      <c r="U133" s="83">
        <v>1345.9</v>
      </c>
      <c r="V133" s="83"/>
      <c r="W133" s="84">
        <v>27.99919319152832</v>
      </c>
      <c r="X133" s="84">
        <v>24.934480667114261</v>
      </c>
      <c r="Y133" s="84"/>
      <c r="Z133" s="84"/>
      <c r="AA133" s="84">
        <v>25.4661750793457</v>
      </c>
      <c r="AB133" s="84">
        <v>24.921597480773929</v>
      </c>
      <c r="AC133" s="84">
        <v>26.453340530395511</v>
      </c>
      <c r="AD133" s="84">
        <v>24.374676704406738</v>
      </c>
      <c r="AE133" s="84">
        <v>24.636750221252441</v>
      </c>
      <c r="AF133" s="84">
        <v>24.62721157073975</v>
      </c>
      <c r="AG133" s="84">
        <v>38.619325637817383</v>
      </c>
      <c r="AH133" s="84">
        <v>26.466981887817379</v>
      </c>
      <c r="AI133" s="84">
        <v>35.757850646972663</v>
      </c>
      <c r="AJ133" s="84">
        <v>24.952292442321781</v>
      </c>
      <c r="AK133" s="84">
        <v>33.321714401245117</v>
      </c>
      <c r="AL133" s="84">
        <v>24.908100128173832</v>
      </c>
      <c r="AM133" s="84">
        <v>32.694496154785163</v>
      </c>
      <c r="AN133" s="84">
        <v>24.973536491394039</v>
      </c>
      <c r="AO133" s="84">
        <v>34.173303604125977</v>
      </c>
      <c r="AP133" s="84">
        <v>24.96809101104736</v>
      </c>
      <c r="AQ133" s="85"/>
      <c r="AR133" s="84">
        <v>3.0647125244140621</v>
      </c>
      <c r="AS133" s="84">
        <v>0.54457759857177734</v>
      </c>
      <c r="AT133" s="84">
        <v>2.07866382598877</v>
      </c>
      <c r="AU133" s="84">
        <v>9.5386505126953125E-3</v>
      </c>
      <c r="AV133" s="84">
        <v>12.15234375</v>
      </c>
      <c r="AW133" s="84">
        <v>10.805558204650881</v>
      </c>
      <c r="AX133" s="84">
        <v>8.4136142730712891</v>
      </c>
      <c r="AY133" s="84">
        <v>7.7209596633911133</v>
      </c>
      <c r="AZ133" s="84">
        <v>9.2052125930786133</v>
      </c>
      <c r="BA133" s="85"/>
      <c r="BB133" s="83" t="s">
        <v>24</v>
      </c>
      <c r="BC133" s="83">
        <v>36.1</v>
      </c>
    </row>
    <row r="134" spans="1:55">
      <c r="A134" s="83" t="s">
        <v>214</v>
      </c>
      <c r="B134" s="83">
        <v>107</v>
      </c>
      <c r="C134" s="83" t="s">
        <v>525</v>
      </c>
      <c r="D134" s="83" t="s">
        <v>526</v>
      </c>
      <c r="E134" s="83" t="s">
        <v>527</v>
      </c>
      <c r="F134" s="83"/>
      <c r="G134" s="83"/>
      <c r="H134" s="83" t="s">
        <v>528</v>
      </c>
      <c r="I134" s="83" t="s">
        <v>24</v>
      </c>
      <c r="J134" s="83">
        <v>72</v>
      </c>
      <c r="K134" s="83" t="s">
        <v>22</v>
      </c>
      <c r="L134" s="95">
        <v>44154</v>
      </c>
      <c r="M134" s="83"/>
      <c r="N134" s="83"/>
      <c r="O134" s="99">
        <f t="shared" si="2"/>
        <v>43.2</v>
      </c>
      <c r="Q134" s="83">
        <v>29.91</v>
      </c>
      <c r="R134" s="83">
        <v>1.37</v>
      </c>
      <c r="S134" s="83">
        <v>0.45</v>
      </c>
      <c r="T134" s="83">
        <v>30</v>
      </c>
      <c r="U134" s="83">
        <v>897.2</v>
      </c>
      <c r="V134" s="83"/>
      <c r="W134" s="84">
        <v>27.710651397705082</v>
      </c>
      <c r="X134" s="84">
        <v>25.62949371337891</v>
      </c>
      <c r="Y134" s="84"/>
      <c r="Z134" s="84"/>
      <c r="AA134" s="84">
        <v>26.07060527801514</v>
      </c>
      <c r="AB134" s="84">
        <v>25.653509140014648</v>
      </c>
      <c r="AC134" s="84">
        <v>26.462152481079102</v>
      </c>
      <c r="AD134" s="84">
        <v>24.97696590423584</v>
      </c>
      <c r="AE134" s="84">
        <v>25.55498123168945</v>
      </c>
      <c r="AF134" s="84">
        <v>25.371308326721191</v>
      </c>
      <c r="AG134" s="84">
        <v>38.925382614135742</v>
      </c>
      <c r="AH134" s="84">
        <v>27.46381855010986</v>
      </c>
      <c r="AI134" s="84">
        <v>35.606796264648438</v>
      </c>
      <c r="AJ134" s="84">
        <v>25.741019248962399</v>
      </c>
      <c r="AK134" s="84">
        <v>33.984855651855469</v>
      </c>
      <c r="AL134" s="84">
        <v>25.712483406066891</v>
      </c>
      <c r="AM134" s="84">
        <v>32.509134292602539</v>
      </c>
      <c r="AN134" s="84">
        <v>25.811493873596191</v>
      </c>
      <c r="AO134" s="84">
        <v>34.057765960693359</v>
      </c>
      <c r="AP134" s="84">
        <v>25.76721286773682</v>
      </c>
      <c r="AQ134" s="85"/>
      <c r="AR134" s="84">
        <v>2.0811576843261719</v>
      </c>
      <c r="AS134" s="84">
        <v>0.41709613800048828</v>
      </c>
      <c r="AT134" s="84">
        <v>1.4851865768432619</v>
      </c>
      <c r="AU134" s="84">
        <v>0.18367290496826169</v>
      </c>
      <c r="AV134" s="84">
        <v>11.461564064025881</v>
      </c>
      <c r="AW134" s="84">
        <v>9.8657770156860352</v>
      </c>
      <c r="AX134" s="84">
        <v>8.2723722457885742</v>
      </c>
      <c r="AY134" s="84">
        <v>6.6976404190063477</v>
      </c>
      <c r="AZ134" s="84">
        <v>8.290553092956543</v>
      </c>
      <c r="BA134" s="85"/>
      <c r="BB134" s="83" t="s">
        <v>24</v>
      </c>
      <c r="BC134" s="83">
        <v>43.2</v>
      </c>
    </row>
    <row r="135" spans="1:55" s="88" customFormat="1" ht="17">
      <c r="A135" s="86" t="s">
        <v>214</v>
      </c>
      <c r="B135" s="86">
        <v>108</v>
      </c>
      <c r="C135" s="86" t="s">
        <v>529</v>
      </c>
      <c r="D135" s="86" t="s">
        <v>148</v>
      </c>
      <c r="E135" s="86" t="s">
        <v>530</v>
      </c>
      <c r="F135" s="86"/>
      <c r="G135" s="86"/>
      <c r="H135" s="86" t="s">
        <v>531</v>
      </c>
      <c r="I135" s="86" t="s">
        <v>24</v>
      </c>
      <c r="J135" s="86">
        <v>56</v>
      </c>
      <c r="K135" s="86" t="s">
        <v>23</v>
      </c>
      <c r="L135" s="96">
        <v>44371</v>
      </c>
      <c r="M135" s="86"/>
      <c r="N135" s="86"/>
      <c r="O135" s="87">
        <f t="shared" si="2"/>
        <v>57.4</v>
      </c>
      <c r="Q135" s="86">
        <v>48.69</v>
      </c>
      <c r="R135" s="86">
        <v>1.42</v>
      </c>
      <c r="S135" s="86">
        <v>0.5</v>
      </c>
      <c r="T135" s="86">
        <v>30</v>
      </c>
      <c r="U135" s="86">
        <v>1460.6</v>
      </c>
      <c r="V135" s="86"/>
      <c r="W135" s="89">
        <v>23.900424957275391</v>
      </c>
      <c r="X135" s="89">
        <v>23.75612831115723</v>
      </c>
      <c r="Y135" s="89"/>
      <c r="Z135" s="89"/>
      <c r="AA135" s="89">
        <v>23.273733139038089</v>
      </c>
      <c r="AB135" s="89">
        <v>23.699470520019531</v>
      </c>
      <c r="AC135" s="89">
        <v>24.778034210205082</v>
      </c>
      <c r="AD135" s="89">
        <v>23.14521503448486</v>
      </c>
      <c r="AE135" s="89">
        <v>25.6713752746582</v>
      </c>
      <c r="AF135" s="89">
        <v>23.72628021240234</v>
      </c>
      <c r="AG135" s="89">
        <v>36.978326797485352</v>
      </c>
      <c r="AH135" s="89">
        <v>25.408576965332031</v>
      </c>
      <c r="AI135" s="89">
        <v>31.387290000915531</v>
      </c>
      <c r="AJ135" s="89">
        <v>23.843263626098629</v>
      </c>
      <c r="AK135" s="89">
        <v>32.157899856567383</v>
      </c>
      <c r="AL135" s="89">
        <v>23.832247734069821</v>
      </c>
      <c r="AM135" s="89">
        <v>28.429106712341309</v>
      </c>
      <c r="AN135" s="89">
        <v>23.732906341552731</v>
      </c>
      <c r="AO135" s="89">
        <v>32.316608428955078</v>
      </c>
      <c r="AP135" s="89">
        <v>23.74486064910889</v>
      </c>
      <c r="AQ135" s="90"/>
      <c r="AR135" s="89">
        <v>0.14429664611816409</v>
      </c>
      <c r="AS135" s="89">
        <v>-0.42573738098144531</v>
      </c>
      <c r="AT135" s="89">
        <v>1.6328191757202151</v>
      </c>
      <c r="AU135" s="89">
        <v>1.9450950622558589</v>
      </c>
      <c r="AV135" s="89">
        <v>11.56974983215332</v>
      </c>
      <c r="AW135" s="89">
        <v>7.5440263748168954</v>
      </c>
      <c r="AX135" s="89">
        <v>8.3256521224975586</v>
      </c>
      <c r="AY135" s="89">
        <v>4.6962003707885742</v>
      </c>
      <c r="AZ135" s="89">
        <v>8.5717477798461914</v>
      </c>
      <c r="BA135" s="90"/>
      <c r="BB135" s="86" t="s">
        <v>24</v>
      </c>
      <c r="BC135" s="86">
        <v>57.4</v>
      </c>
    </row>
    <row r="136" spans="1:55">
      <c r="A136" s="83" t="s">
        <v>214</v>
      </c>
      <c r="B136" s="83">
        <v>109</v>
      </c>
      <c r="C136" s="83" t="s">
        <v>532</v>
      </c>
      <c r="D136" s="83" t="s">
        <v>151</v>
      </c>
      <c r="E136" s="83" t="s">
        <v>533</v>
      </c>
      <c r="F136" s="83"/>
      <c r="G136" s="83"/>
      <c r="H136" s="83" t="s">
        <v>534</v>
      </c>
      <c r="I136" s="83" t="s">
        <v>24</v>
      </c>
      <c r="J136" s="83">
        <v>74</v>
      </c>
      <c r="K136" s="83" t="s">
        <v>23</v>
      </c>
      <c r="L136" s="95">
        <v>44440</v>
      </c>
      <c r="M136" s="83"/>
      <c r="N136" s="83"/>
      <c r="O136" s="99">
        <f t="shared" si="2"/>
        <v>29.4</v>
      </c>
      <c r="Q136" s="83">
        <v>23.8</v>
      </c>
      <c r="R136" s="83">
        <v>1.32</v>
      </c>
      <c r="S136" s="83">
        <v>0.42</v>
      </c>
      <c r="T136" s="83">
        <v>30</v>
      </c>
      <c r="U136" s="83">
        <v>714.1</v>
      </c>
      <c r="V136" s="83"/>
      <c r="W136" s="84">
        <v>27.93526458740234</v>
      </c>
      <c r="X136" s="84">
        <v>25.565129280090328</v>
      </c>
      <c r="Y136" s="84"/>
      <c r="Z136" s="84"/>
      <c r="AA136" s="84">
        <v>26.684160232543949</v>
      </c>
      <c r="AB136" s="84">
        <v>25.506803512573239</v>
      </c>
      <c r="AC136" s="84">
        <v>25.912448883056641</v>
      </c>
      <c r="AD136" s="84">
        <v>24.769036293029789</v>
      </c>
      <c r="AE136" s="84">
        <v>26.278644561767582</v>
      </c>
      <c r="AF136" s="84">
        <v>25.427907943725589</v>
      </c>
      <c r="AG136" s="84">
        <v>38.706230163574219</v>
      </c>
      <c r="AH136" s="84">
        <v>27.18486404418945</v>
      </c>
      <c r="AI136" s="84">
        <v>35.940132141113281</v>
      </c>
      <c r="AJ136" s="84">
        <v>25.621913909912109</v>
      </c>
      <c r="AK136" s="84">
        <v>34.731561660766602</v>
      </c>
      <c r="AL136" s="84">
        <v>25.595040321350101</v>
      </c>
      <c r="AM136" s="84">
        <v>31.609333992004391</v>
      </c>
      <c r="AN136" s="84">
        <v>25.619454383850101</v>
      </c>
      <c r="AO136" s="84">
        <v>34.748245239257812</v>
      </c>
      <c r="AP136" s="84">
        <v>25.580392837524411</v>
      </c>
      <c r="AQ136" s="85"/>
      <c r="AR136" s="84">
        <v>2.3701353073120122</v>
      </c>
      <c r="AS136" s="84">
        <v>1.1773567199707029</v>
      </c>
      <c r="AT136" s="84">
        <v>1.143412590026855</v>
      </c>
      <c r="AU136" s="84">
        <v>0.85073661804199219</v>
      </c>
      <c r="AV136" s="84">
        <v>11.521366119384769</v>
      </c>
      <c r="AW136" s="84">
        <v>10.31821823120117</v>
      </c>
      <c r="AX136" s="84">
        <v>9.1365213394165039</v>
      </c>
      <c r="AY136" s="84">
        <v>5.9898796081542969</v>
      </c>
      <c r="AZ136" s="84">
        <v>9.1678524017333984</v>
      </c>
      <c r="BA136" s="85"/>
      <c r="BB136" s="83" t="s">
        <v>24</v>
      </c>
      <c r="BC136" s="83">
        <v>29.4</v>
      </c>
    </row>
    <row r="137" spans="1:55">
      <c r="A137" s="83" t="s">
        <v>214</v>
      </c>
      <c r="B137" s="83">
        <v>110</v>
      </c>
      <c r="C137" s="83" t="s">
        <v>535</v>
      </c>
      <c r="D137" s="83" t="s">
        <v>154</v>
      </c>
      <c r="E137" s="83" t="s">
        <v>536</v>
      </c>
      <c r="F137" s="83"/>
      <c r="G137" s="83"/>
      <c r="H137" s="83" t="s">
        <v>537</v>
      </c>
      <c r="I137" s="83" t="s">
        <v>24</v>
      </c>
      <c r="J137" s="83">
        <v>58</v>
      </c>
      <c r="K137" s="83" t="s">
        <v>23</v>
      </c>
      <c r="L137" s="95">
        <v>44518</v>
      </c>
      <c r="M137" s="83"/>
      <c r="N137" s="83"/>
      <c r="O137" s="99">
        <f t="shared" si="2"/>
        <v>19</v>
      </c>
      <c r="Q137" s="83">
        <v>51.1</v>
      </c>
      <c r="R137" s="83">
        <v>1.41</v>
      </c>
      <c r="S137" s="83">
        <v>0.5</v>
      </c>
      <c r="T137" s="83">
        <v>30</v>
      </c>
      <c r="U137" s="83">
        <v>1533</v>
      </c>
      <c r="V137" s="83"/>
      <c r="W137" s="84">
        <v>28.077183723449711</v>
      </c>
      <c r="X137" s="84">
        <v>25.622065544128422</v>
      </c>
      <c r="Y137" s="84"/>
      <c r="Z137" s="84"/>
      <c r="AA137" s="84">
        <v>26.219075202941891</v>
      </c>
      <c r="AB137" s="84">
        <v>25.595159530639648</v>
      </c>
      <c r="AC137" s="84">
        <v>26.454635620117191</v>
      </c>
      <c r="AD137" s="84">
        <v>24.940939903259281</v>
      </c>
      <c r="AE137" s="84">
        <v>26.678460121154789</v>
      </c>
      <c r="AF137" s="84">
        <v>25.393081665039059</v>
      </c>
      <c r="AG137" s="84">
        <v>40</v>
      </c>
      <c r="AH137" s="84">
        <v>27.243732452392582</v>
      </c>
      <c r="AI137" s="84">
        <v>36.20014762878418</v>
      </c>
      <c r="AJ137" s="84">
        <v>25.661114692687988</v>
      </c>
      <c r="AK137" s="84">
        <v>35.280969619750977</v>
      </c>
      <c r="AL137" s="84">
        <v>25.597918510437012</v>
      </c>
      <c r="AM137" s="84">
        <v>32.858854293823242</v>
      </c>
      <c r="AN137" s="84">
        <v>25.67540168762207</v>
      </c>
      <c r="AO137" s="84">
        <v>34.739358901977539</v>
      </c>
      <c r="AP137" s="84">
        <v>25.705648422241211</v>
      </c>
      <c r="AQ137" s="85"/>
      <c r="AR137" s="84">
        <v>2.4551181793212891</v>
      </c>
      <c r="AS137" s="84">
        <v>0.62391567230224609</v>
      </c>
      <c r="AT137" s="84">
        <v>1.5136957168579099</v>
      </c>
      <c r="AU137" s="84">
        <v>1.2853784561157231</v>
      </c>
      <c r="AV137" s="84">
        <v>12.75626754760742</v>
      </c>
      <c r="AW137" s="84">
        <v>10.53903293609619</v>
      </c>
      <c r="AX137" s="84">
        <v>9.6830511093139648</v>
      </c>
      <c r="AY137" s="84">
        <v>7.1834526062011719</v>
      </c>
      <c r="AZ137" s="84">
        <v>9.0337104797363281</v>
      </c>
      <c r="BA137" s="85"/>
      <c r="BB137" s="83" t="s">
        <v>24</v>
      </c>
      <c r="BC137" s="83">
        <v>19</v>
      </c>
    </row>
    <row r="138" spans="1:55">
      <c r="A138" s="83" t="s">
        <v>214</v>
      </c>
      <c r="B138" s="83">
        <v>111</v>
      </c>
      <c r="C138" s="83" t="s">
        <v>538</v>
      </c>
      <c r="D138" s="83" t="s">
        <v>157</v>
      </c>
      <c r="E138" s="83" t="s">
        <v>539</v>
      </c>
      <c r="F138" s="83"/>
      <c r="G138" s="83"/>
      <c r="H138" s="83" t="s">
        <v>540</v>
      </c>
      <c r="I138" s="83" t="s">
        <v>24</v>
      </c>
      <c r="J138" s="83">
        <v>68</v>
      </c>
      <c r="K138" s="83" t="s">
        <v>23</v>
      </c>
      <c r="L138" s="95">
        <v>45190</v>
      </c>
      <c r="M138" s="83"/>
      <c r="N138" s="83"/>
      <c r="O138" s="99">
        <f t="shared" si="2"/>
        <v>39.5</v>
      </c>
      <c r="Q138" s="83">
        <v>30.75</v>
      </c>
      <c r="R138" s="83">
        <v>1.37</v>
      </c>
      <c r="S138" s="83">
        <v>0.43</v>
      </c>
      <c r="T138" s="83">
        <v>30</v>
      </c>
      <c r="U138" s="83">
        <v>922.6</v>
      </c>
      <c r="V138" s="83"/>
      <c r="W138" s="84">
        <v>28.049845695495609</v>
      </c>
      <c r="X138" s="84">
        <v>25.376493453979489</v>
      </c>
      <c r="Y138" s="84"/>
      <c r="Z138" s="84"/>
      <c r="AA138" s="84">
        <v>26.552714347839359</v>
      </c>
      <c r="AB138" s="84">
        <v>25.345427513122559</v>
      </c>
      <c r="AC138" s="84">
        <v>26.345987319946289</v>
      </c>
      <c r="AD138" s="84">
        <v>24.719074249267582</v>
      </c>
      <c r="AE138" s="84">
        <v>25.645350456237789</v>
      </c>
      <c r="AF138" s="84">
        <v>25.090306282043461</v>
      </c>
      <c r="AG138" s="84">
        <v>39.171236038208008</v>
      </c>
      <c r="AH138" s="84">
        <v>27.153388023376461</v>
      </c>
      <c r="AI138" s="84">
        <v>36.627616882324219</v>
      </c>
      <c r="AJ138" s="84">
        <v>25.392183303833011</v>
      </c>
      <c r="AK138" s="84">
        <v>33.611427307128913</v>
      </c>
      <c r="AL138" s="84">
        <v>25.318802833557129</v>
      </c>
      <c r="AM138" s="84">
        <v>32.741039276123047</v>
      </c>
      <c r="AN138" s="84">
        <v>25.5399055480957</v>
      </c>
      <c r="AO138" s="84">
        <v>35.30735969543457</v>
      </c>
      <c r="AP138" s="84">
        <v>25.37672233581543</v>
      </c>
      <c r="AQ138" s="85"/>
      <c r="AR138" s="84">
        <v>2.6733522415161128</v>
      </c>
      <c r="AS138" s="84">
        <v>1.2072868347167971</v>
      </c>
      <c r="AT138" s="84">
        <v>1.6269130706787109</v>
      </c>
      <c r="AU138" s="84">
        <v>0.55504417419433594</v>
      </c>
      <c r="AV138" s="84">
        <v>12.017848014831539</v>
      </c>
      <c r="AW138" s="84">
        <v>11.235433578491209</v>
      </c>
      <c r="AX138" s="84">
        <v>8.2926244735717773</v>
      </c>
      <c r="AY138" s="84">
        <v>7.2011337280273438</v>
      </c>
      <c r="AZ138" s="84">
        <v>9.9306373596191406</v>
      </c>
      <c r="BA138" s="85"/>
      <c r="BB138" s="83" t="s">
        <v>24</v>
      </c>
      <c r="BC138" s="83">
        <v>39.5</v>
      </c>
    </row>
    <row r="139" spans="1:55">
      <c r="A139" s="83" t="s">
        <v>214</v>
      </c>
      <c r="B139" s="83">
        <v>112</v>
      </c>
      <c r="C139" s="83" t="s">
        <v>541</v>
      </c>
      <c r="D139" s="83" t="s">
        <v>542</v>
      </c>
      <c r="E139" s="83" t="s">
        <v>543</v>
      </c>
      <c r="F139" s="83"/>
      <c r="G139" s="83"/>
      <c r="H139" s="83" t="s">
        <v>544</v>
      </c>
      <c r="I139" s="83" t="s">
        <v>24</v>
      </c>
      <c r="J139" s="83">
        <v>68</v>
      </c>
      <c r="K139" s="83" t="s">
        <v>22</v>
      </c>
      <c r="L139" s="83" t="s">
        <v>545</v>
      </c>
      <c r="M139" s="83"/>
      <c r="N139" s="83"/>
      <c r="O139" s="99">
        <f t="shared" si="2"/>
        <v>42.2</v>
      </c>
      <c r="Q139" s="83">
        <v>39.22</v>
      </c>
      <c r="R139" s="83">
        <v>1.39</v>
      </c>
      <c r="S139" s="83">
        <v>0.47</v>
      </c>
      <c r="T139" s="83">
        <v>30</v>
      </c>
      <c r="U139" s="83">
        <v>1176.5</v>
      </c>
      <c r="V139" s="83"/>
      <c r="W139" s="84">
        <v>27.554132461547852</v>
      </c>
      <c r="X139" s="84">
        <v>25.804936408996578</v>
      </c>
      <c r="Y139" s="84"/>
      <c r="Z139" s="84"/>
      <c r="AA139" s="84">
        <v>26.8478536605835</v>
      </c>
      <c r="AB139" s="84">
        <v>25.60866546630859</v>
      </c>
      <c r="AC139" s="84">
        <v>26.62142372131348</v>
      </c>
      <c r="AD139" s="84">
        <v>25.068411827087399</v>
      </c>
      <c r="AE139" s="84">
        <v>26.33981895446777</v>
      </c>
      <c r="AF139" s="84">
        <v>25.57142543792725</v>
      </c>
      <c r="AG139" s="84">
        <v>39.380033493041992</v>
      </c>
      <c r="AH139" s="84">
        <v>27.737407684326168</v>
      </c>
      <c r="AI139" s="84">
        <v>36.23760986328125</v>
      </c>
      <c r="AJ139" s="84">
        <v>25.797975540161129</v>
      </c>
      <c r="AK139" s="84">
        <v>34.309125900268548</v>
      </c>
      <c r="AL139" s="84">
        <v>25.95164775848389</v>
      </c>
      <c r="AM139" s="84">
        <v>31.916044235229489</v>
      </c>
      <c r="AN139" s="84">
        <v>25.96385288238525</v>
      </c>
      <c r="AO139" s="84">
        <v>35.746992111206048</v>
      </c>
      <c r="AP139" s="84">
        <v>25.837514877319339</v>
      </c>
      <c r="AQ139" s="85"/>
      <c r="AR139" s="84">
        <v>1.74919605255127</v>
      </c>
      <c r="AS139" s="84">
        <v>1.2391881942749019</v>
      </c>
      <c r="AT139" s="84">
        <v>1.553011894226074</v>
      </c>
      <c r="AU139" s="84">
        <v>0.76839351654052734</v>
      </c>
      <c r="AV139" s="84">
        <v>11.64262580871582</v>
      </c>
      <c r="AW139" s="84">
        <v>10.439634323120121</v>
      </c>
      <c r="AX139" s="84">
        <v>8.357478141784668</v>
      </c>
      <c r="AY139" s="84">
        <v>5.9521913528442383</v>
      </c>
      <c r="AZ139" s="84">
        <v>9.9094772338867188</v>
      </c>
      <c r="BA139" s="85"/>
      <c r="BB139" s="83" t="s">
        <v>24</v>
      </c>
      <c r="BC139" s="83">
        <v>42.2</v>
      </c>
    </row>
    <row r="140" spans="1:55">
      <c r="A140" s="83" t="s">
        <v>214</v>
      </c>
      <c r="B140" s="83">
        <v>113</v>
      </c>
      <c r="C140" s="83" t="s">
        <v>546</v>
      </c>
      <c r="D140" s="83" t="s">
        <v>542</v>
      </c>
      <c r="E140" s="83" t="s">
        <v>543</v>
      </c>
      <c r="F140" s="83"/>
      <c r="G140" s="83"/>
      <c r="H140" s="83" t="s">
        <v>547</v>
      </c>
      <c r="I140" s="83" t="s">
        <v>24</v>
      </c>
      <c r="J140" s="83">
        <v>68</v>
      </c>
      <c r="K140" s="83" t="s">
        <v>22</v>
      </c>
      <c r="L140" s="83" t="s">
        <v>545</v>
      </c>
      <c r="M140" s="83"/>
      <c r="N140" s="83"/>
      <c r="O140" s="99">
        <f t="shared" si="2"/>
        <v>43.5</v>
      </c>
      <c r="Q140" s="83">
        <v>19.04</v>
      </c>
      <c r="R140" s="83">
        <v>1.32</v>
      </c>
      <c r="S140" s="83">
        <v>0.43</v>
      </c>
      <c r="T140" s="83">
        <v>30</v>
      </c>
      <c r="U140" s="83">
        <v>571.20000000000005</v>
      </c>
      <c r="V140" s="83"/>
      <c r="W140" s="84">
        <v>27.91180324554443</v>
      </c>
      <c r="X140" s="84">
        <v>25.88867282867432</v>
      </c>
      <c r="Y140" s="84"/>
      <c r="Z140" s="84"/>
      <c r="AA140" s="84">
        <v>26.202402114868161</v>
      </c>
      <c r="AB140" s="84">
        <v>25.932476043701168</v>
      </c>
      <c r="AC140" s="84">
        <v>26.875400543212891</v>
      </c>
      <c r="AD140" s="84">
        <v>25.277359008789059</v>
      </c>
      <c r="AE140" s="84">
        <v>26.599519729614261</v>
      </c>
      <c r="AF140" s="84">
        <v>25.79532623291016</v>
      </c>
      <c r="AG140" s="84">
        <v>39.671854019165039</v>
      </c>
      <c r="AH140" s="84">
        <v>27.854128837585449</v>
      </c>
      <c r="AI140" s="84">
        <v>36.483285903930657</v>
      </c>
      <c r="AJ140" s="84">
        <v>25.989492416381839</v>
      </c>
      <c r="AK140" s="84">
        <v>34.621383666992188</v>
      </c>
      <c r="AL140" s="84">
        <v>25.961677551269531</v>
      </c>
      <c r="AM140" s="84">
        <v>32.299598693847663</v>
      </c>
      <c r="AN140" s="84">
        <v>26.02918815612793</v>
      </c>
      <c r="AO140" s="84">
        <v>35.115007400512702</v>
      </c>
      <c r="AP140" s="84">
        <v>25.73772048950195</v>
      </c>
      <c r="AQ140" s="85"/>
      <c r="AR140" s="84">
        <v>2.0231304168701172</v>
      </c>
      <c r="AS140" s="84">
        <v>0.26992607116699219</v>
      </c>
      <c r="AT140" s="84">
        <v>1.5980415344238279</v>
      </c>
      <c r="AU140" s="84">
        <v>0.80419349670410156</v>
      </c>
      <c r="AV140" s="84">
        <v>11.81772518157959</v>
      </c>
      <c r="AW140" s="84">
        <v>10.49379348754883</v>
      </c>
      <c r="AX140" s="84">
        <v>8.6597061157226562</v>
      </c>
      <c r="AY140" s="84">
        <v>6.2704105377197266</v>
      </c>
      <c r="AZ140" s="84">
        <v>9.3772869110107422</v>
      </c>
      <c r="BA140" s="85"/>
      <c r="BB140" s="83" t="s">
        <v>24</v>
      </c>
      <c r="BC140" s="83">
        <v>43.5</v>
      </c>
    </row>
    <row r="141" spans="1:55">
      <c r="A141" s="83" t="s">
        <v>214</v>
      </c>
      <c r="B141" s="83">
        <v>114</v>
      </c>
      <c r="C141" s="83" t="s">
        <v>548</v>
      </c>
      <c r="D141" s="83" t="s">
        <v>549</v>
      </c>
      <c r="E141" s="83" t="s">
        <v>550</v>
      </c>
      <c r="F141" s="83"/>
      <c r="G141" s="83"/>
      <c r="H141" s="83" t="s">
        <v>551</v>
      </c>
      <c r="I141" s="83" t="s">
        <v>24</v>
      </c>
      <c r="J141" s="83">
        <v>61</v>
      </c>
      <c r="K141" s="83" t="s">
        <v>22</v>
      </c>
      <c r="L141" s="83" t="s">
        <v>552</v>
      </c>
      <c r="M141" s="83"/>
      <c r="N141" s="83"/>
      <c r="O141" s="99">
        <f t="shared" si="2"/>
        <v>33.299999999999997</v>
      </c>
      <c r="Q141" s="83">
        <v>18.760000000000002</v>
      </c>
      <c r="R141" s="83">
        <v>1.33</v>
      </c>
      <c r="S141" s="83">
        <v>0.43</v>
      </c>
      <c r="T141" s="83">
        <v>30</v>
      </c>
      <c r="U141" s="83">
        <v>562.79999999999995</v>
      </c>
      <c r="V141" s="83"/>
      <c r="W141" s="84">
        <v>26.525813102722172</v>
      </c>
      <c r="X141" s="84">
        <v>25.71672439575195</v>
      </c>
      <c r="Y141" s="84"/>
      <c r="Z141" s="84"/>
      <c r="AA141" s="84">
        <v>25.896806716918949</v>
      </c>
      <c r="AB141" s="84">
        <v>25.724444389343262</v>
      </c>
      <c r="AC141" s="84">
        <v>26.81104946136475</v>
      </c>
      <c r="AD141" s="84">
        <v>25.05180549621582</v>
      </c>
      <c r="AE141" s="84">
        <v>26.223611831665039</v>
      </c>
      <c r="AF141" s="84">
        <v>25.370951652526859</v>
      </c>
      <c r="AG141" s="84">
        <v>39.334417343139648</v>
      </c>
      <c r="AH141" s="84">
        <v>27.559914588928219</v>
      </c>
      <c r="AI141" s="84">
        <v>34.462848663330078</v>
      </c>
      <c r="AJ141" s="84">
        <v>25.774468421936039</v>
      </c>
      <c r="AK141" s="84">
        <v>35.090848922729492</v>
      </c>
      <c r="AL141" s="84">
        <v>25.818415641784672</v>
      </c>
      <c r="AM141" s="84">
        <v>31.303956985473629</v>
      </c>
      <c r="AN141" s="84">
        <v>25.784807205200199</v>
      </c>
      <c r="AO141" s="84">
        <v>35.111183166503913</v>
      </c>
      <c r="AP141" s="84">
        <v>25.606204032897949</v>
      </c>
      <c r="AQ141" s="85"/>
      <c r="AR141" s="84">
        <v>0.80908870697021484</v>
      </c>
      <c r="AS141" s="84">
        <v>0.17236232757568359</v>
      </c>
      <c r="AT141" s="84">
        <v>1.759243965148926</v>
      </c>
      <c r="AU141" s="84">
        <v>0.85266017913818359</v>
      </c>
      <c r="AV141" s="84">
        <v>11.774502754211429</v>
      </c>
      <c r="AW141" s="84">
        <v>8.688380241394043</v>
      </c>
      <c r="AX141" s="84">
        <v>9.2724332809448242</v>
      </c>
      <c r="AY141" s="84">
        <v>5.5191497802734384</v>
      </c>
      <c r="AZ141" s="84">
        <v>9.504979133605957</v>
      </c>
      <c r="BA141" s="85"/>
      <c r="BB141" s="83" t="s">
        <v>24</v>
      </c>
      <c r="BC141" s="83">
        <v>33.299999999999997</v>
      </c>
    </row>
    <row r="142" spans="1:55">
      <c r="A142" s="83" t="s">
        <v>214</v>
      </c>
      <c r="B142" s="83">
        <v>115</v>
      </c>
      <c r="C142" s="83" t="s">
        <v>553</v>
      </c>
      <c r="D142" s="83" t="s">
        <v>549</v>
      </c>
      <c r="E142" s="83" t="s">
        <v>550</v>
      </c>
      <c r="F142" s="83"/>
      <c r="G142" s="83"/>
      <c r="H142" s="83" t="s">
        <v>554</v>
      </c>
      <c r="I142" s="83" t="s">
        <v>24</v>
      </c>
      <c r="J142" s="83">
        <v>61</v>
      </c>
      <c r="K142" s="83" t="s">
        <v>22</v>
      </c>
      <c r="L142" s="83" t="s">
        <v>552</v>
      </c>
      <c r="M142" s="83"/>
      <c r="N142" s="83"/>
      <c r="O142" s="99">
        <f t="shared" si="2"/>
        <v>42.3</v>
      </c>
      <c r="Q142" s="83">
        <v>20.7</v>
      </c>
      <c r="R142" s="83">
        <v>1.31</v>
      </c>
      <c r="S142" s="83">
        <v>0.41</v>
      </c>
      <c r="T142" s="83">
        <v>30</v>
      </c>
      <c r="U142" s="83">
        <v>621</v>
      </c>
      <c r="V142" s="83"/>
      <c r="W142" s="84">
        <v>28.16878509521484</v>
      </c>
      <c r="X142" s="84">
        <v>25.765518188476559</v>
      </c>
      <c r="Y142" s="84"/>
      <c r="Z142" s="84"/>
      <c r="AA142" s="84">
        <v>25.76673793792725</v>
      </c>
      <c r="AB142" s="84">
        <v>25.832306861877441</v>
      </c>
      <c r="AC142" s="84">
        <v>26.696047782897949</v>
      </c>
      <c r="AD142" s="84">
        <v>25.083930969238281</v>
      </c>
      <c r="AE142" s="84">
        <v>26.489494323730469</v>
      </c>
      <c r="AF142" s="84">
        <v>25.57135105133057</v>
      </c>
      <c r="AG142" s="84">
        <v>40</v>
      </c>
      <c r="AH142" s="84">
        <v>27.56101036071777</v>
      </c>
      <c r="AI142" s="84">
        <v>37.536626815795898</v>
      </c>
      <c r="AJ142" s="84">
        <v>25.945954322814941</v>
      </c>
      <c r="AK142" s="84">
        <v>34.699594497680657</v>
      </c>
      <c r="AL142" s="84">
        <v>25.80240440368652</v>
      </c>
      <c r="AM142" s="84">
        <v>32.652362823486328</v>
      </c>
      <c r="AN142" s="84">
        <v>25.96884727478027</v>
      </c>
      <c r="AO142" s="84">
        <v>36.043909072875977</v>
      </c>
      <c r="AP142" s="84">
        <v>25.9753885269165</v>
      </c>
      <c r="AQ142" s="85"/>
      <c r="AR142" s="84">
        <v>2.4032669067382808</v>
      </c>
      <c r="AS142" s="84">
        <v>-6.5568923950195312E-2</v>
      </c>
      <c r="AT142" s="84">
        <v>1.612116813659668</v>
      </c>
      <c r="AU142" s="84">
        <v>0.91814327239990234</v>
      </c>
      <c r="AV142" s="84">
        <v>12.43898963928223</v>
      </c>
      <c r="AW142" s="84">
        <v>11.590672492980961</v>
      </c>
      <c r="AX142" s="84">
        <v>8.8971900939941406</v>
      </c>
      <c r="AY142" s="84">
        <v>6.6835155487060547</v>
      </c>
      <c r="AZ142" s="84">
        <v>10.068520545959471</v>
      </c>
      <c r="BA142" s="85"/>
      <c r="BB142" s="83" t="s">
        <v>24</v>
      </c>
      <c r="BC142" s="83">
        <v>42.3</v>
      </c>
    </row>
    <row r="143" spans="1:55">
      <c r="A143" s="83" t="s">
        <v>214</v>
      </c>
      <c r="B143" s="83">
        <v>116</v>
      </c>
      <c r="C143" s="83" t="s">
        <v>555</v>
      </c>
      <c r="D143" s="83" t="s">
        <v>556</v>
      </c>
      <c r="E143" s="83" t="s">
        <v>557</v>
      </c>
      <c r="F143" s="83"/>
      <c r="G143" s="83"/>
      <c r="H143" s="83" t="s">
        <v>558</v>
      </c>
      <c r="I143" s="83" t="s">
        <v>24</v>
      </c>
      <c r="J143" s="83">
        <v>66</v>
      </c>
      <c r="K143" s="83" t="s">
        <v>23</v>
      </c>
      <c r="L143" s="95">
        <v>45184</v>
      </c>
      <c r="M143" s="83"/>
      <c r="N143" s="83"/>
      <c r="O143" s="99">
        <f t="shared" si="2"/>
        <v>24.6</v>
      </c>
      <c r="Q143" s="83">
        <v>19.18</v>
      </c>
      <c r="R143" s="83">
        <v>1.31</v>
      </c>
      <c r="S143" s="83">
        <v>0.41</v>
      </c>
      <c r="T143" s="83">
        <v>30</v>
      </c>
      <c r="U143" s="83">
        <v>575.5</v>
      </c>
      <c r="V143" s="83"/>
      <c r="W143" s="84">
        <v>28.77085971832275</v>
      </c>
      <c r="X143" s="84">
        <v>25.875930786132809</v>
      </c>
      <c r="Y143" s="84"/>
      <c r="Z143" s="84"/>
      <c r="AA143" s="84">
        <v>29.08305740356445</v>
      </c>
      <c r="AB143" s="84">
        <v>25.8245096206665</v>
      </c>
      <c r="AC143" s="84">
        <v>25.531301498413089</v>
      </c>
      <c r="AD143" s="84">
        <v>24.855618476867679</v>
      </c>
      <c r="AE143" s="84">
        <v>26.313300132751461</v>
      </c>
      <c r="AF143" s="84">
        <v>25.551555633544918</v>
      </c>
      <c r="AG143" s="84">
        <v>40</v>
      </c>
      <c r="AH143" s="84">
        <v>27.47193622589111</v>
      </c>
      <c r="AI143" s="84">
        <v>40</v>
      </c>
      <c r="AJ143" s="84">
        <v>25.874608039855961</v>
      </c>
      <c r="AK143" s="84">
        <v>34.651979446411133</v>
      </c>
      <c r="AL143" s="84">
        <v>25.781804084777828</v>
      </c>
      <c r="AM143" s="84">
        <v>36.812797546386719</v>
      </c>
      <c r="AN143" s="84">
        <v>25.936093330383301</v>
      </c>
      <c r="AO143" s="84">
        <v>39.271156311035163</v>
      </c>
      <c r="AP143" s="84">
        <v>25.785976409912109</v>
      </c>
      <c r="AQ143" s="85"/>
      <c r="AR143" s="84">
        <v>2.894928932189941</v>
      </c>
      <c r="AS143" s="84">
        <v>3.2585477828979492</v>
      </c>
      <c r="AT143" s="84">
        <v>0.67568302154541016</v>
      </c>
      <c r="AU143" s="84">
        <v>0.76174449920654297</v>
      </c>
      <c r="AV143" s="84">
        <v>12.52806377410889</v>
      </c>
      <c r="AW143" s="84">
        <v>14.125391960144039</v>
      </c>
      <c r="AX143" s="84">
        <v>8.8701753616333008</v>
      </c>
      <c r="AY143" s="84">
        <v>10.87670421600342</v>
      </c>
      <c r="AZ143" s="84">
        <v>13.48517990112305</v>
      </c>
      <c r="BA143" s="85"/>
      <c r="BB143" s="83" t="s">
        <v>24</v>
      </c>
      <c r="BC143" s="83">
        <v>24.6</v>
      </c>
    </row>
    <row r="144" spans="1:55">
      <c r="A144" s="83" t="s">
        <v>214</v>
      </c>
      <c r="B144" s="83">
        <v>117</v>
      </c>
      <c r="C144" s="83" t="s">
        <v>559</v>
      </c>
      <c r="D144" s="83" t="s">
        <v>556</v>
      </c>
      <c r="E144" s="83" t="s">
        <v>557</v>
      </c>
      <c r="F144" s="83"/>
      <c r="G144" s="83"/>
      <c r="H144" s="83" t="s">
        <v>560</v>
      </c>
      <c r="I144" s="83" t="s">
        <v>24</v>
      </c>
      <c r="J144" s="83">
        <v>66</v>
      </c>
      <c r="K144" s="83" t="s">
        <v>23</v>
      </c>
      <c r="L144" s="95">
        <v>45184</v>
      </c>
      <c r="M144" s="83"/>
      <c r="N144" s="83"/>
      <c r="O144" s="99">
        <f t="shared" si="2"/>
        <v>11.8</v>
      </c>
      <c r="Q144" s="83">
        <v>24.48</v>
      </c>
      <c r="R144" s="83">
        <v>1.31</v>
      </c>
      <c r="S144" s="83">
        <v>0.42</v>
      </c>
      <c r="T144" s="83">
        <v>30</v>
      </c>
      <c r="U144" s="83">
        <v>734.4</v>
      </c>
      <c r="V144" s="83"/>
      <c r="W144" s="84">
        <v>30.16823768615723</v>
      </c>
      <c r="X144" s="84">
        <v>25.900570869445801</v>
      </c>
      <c r="Y144" s="84"/>
      <c r="Z144" s="84"/>
      <c r="AA144" s="84">
        <v>30.7869119644165</v>
      </c>
      <c r="AB144" s="84">
        <v>25.882349967956539</v>
      </c>
      <c r="AC144" s="84">
        <v>26.140146255493161</v>
      </c>
      <c r="AD144" s="84">
        <v>25.03242015838623</v>
      </c>
      <c r="AE144" s="84">
        <v>26.648980140686039</v>
      </c>
      <c r="AF144" s="84">
        <v>25.705477714538571</v>
      </c>
      <c r="AG144" s="84">
        <v>40</v>
      </c>
      <c r="AH144" s="84">
        <v>27.672981262207031</v>
      </c>
      <c r="AI144" s="84">
        <v>40</v>
      </c>
      <c r="AJ144" s="84">
        <v>25.944517135620121</v>
      </c>
      <c r="AK144" s="84">
        <v>35.18931770324707</v>
      </c>
      <c r="AL144" s="84">
        <v>25.915143966674801</v>
      </c>
      <c r="AM144" s="84">
        <v>38.579389572143548</v>
      </c>
      <c r="AN144" s="84">
        <v>25.965847969055179</v>
      </c>
      <c r="AO144" s="84">
        <v>39.854108810424798</v>
      </c>
      <c r="AP144" s="84">
        <v>25.861982345581051</v>
      </c>
      <c r="AQ144" s="85"/>
      <c r="AR144" s="84">
        <v>4.2676668167114258</v>
      </c>
      <c r="AS144" s="84">
        <v>4.9045619964599609</v>
      </c>
      <c r="AT144" s="84">
        <v>1.107726097106934</v>
      </c>
      <c r="AU144" s="84">
        <v>0.94350242614746094</v>
      </c>
      <c r="AV144" s="84">
        <v>12.327018737792971</v>
      </c>
      <c r="AW144" s="84">
        <v>14.055482864379879</v>
      </c>
      <c r="AX144" s="84">
        <v>9.2741737365722656</v>
      </c>
      <c r="AY144" s="84">
        <v>12.613541603088381</v>
      </c>
      <c r="AZ144" s="84">
        <v>13.99212646484375</v>
      </c>
      <c r="BA144" s="85"/>
      <c r="BB144" s="83" t="s">
        <v>24</v>
      </c>
      <c r="BC144" s="83">
        <v>11.8</v>
      </c>
    </row>
    <row r="145" spans="1:55">
      <c r="A145" s="83" t="s">
        <v>214</v>
      </c>
      <c r="B145" s="83">
        <v>118</v>
      </c>
      <c r="C145" s="83" t="s">
        <v>522</v>
      </c>
      <c r="D145" s="83" t="s">
        <v>561</v>
      </c>
      <c r="E145" s="83" t="s">
        <v>562</v>
      </c>
      <c r="F145" s="83"/>
      <c r="G145" s="83"/>
      <c r="H145" s="83" t="s">
        <v>563</v>
      </c>
      <c r="I145" s="83" t="s">
        <v>27</v>
      </c>
      <c r="J145" s="83">
        <v>71</v>
      </c>
      <c r="K145" s="83" t="s">
        <v>23</v>
      </c>
      <c r="L145" s="95">
        <v>44362</v>
      </c>
      <c r="M145" s="83"/>
      <c r="N145" s="83"/>
      <c r="O145" s="99">
        <f t="shared" si="2"/>
        <v>2.1</v>
      </c>
      <c r="Q145" s="83">
        <v>16.39</v>
      </c>
      <c r="R145" s="83">
        <v>1.27</v>
      </c>
      <c r="S145" s="83">
        <v>0.4</v>
      </c>
      <c r="T145" s="83">
        <v>30</v>
      </c>
      <c r="U145" s="83">
        <v>491.7</v>
      </c>
      <c r="V145" s="83"/>
      <c r="W145" s="84">
        <v>28.926263809204102</v>
      </c>
      <c r="X145" s="84">
        <v>25.683085441589359</v>
      </c>
      <c r="Y145" s="84"/>
      <c r="Z145" s="84"/>
      <c r="AA145" s="84">
        <v>29.033700942993161</v>
      </c>
      <c r="AB145" s="84">
        <v>25.754510879516602</v>
      </c>
      <c r="AC145" s="84">
        <v>28.728985786437988</v>
      </c>
      <c r="AD145" s="84">
        <v>25.443032264709469</v>
      </c>
      <c r="AE145" s="84">
        <v>28.70472431182861</v>
      </c>
      <c r="AF145" s="84">
        <v>25.75128078460693</v>
      </c>
      <c r="AG145" s="84">
        <v>40</v>
      </c>
      <c r="AH145" s="84">
        <v>27.50303745269775</v>
      </c>
      <c r="AI145" s="84">
        <v>40</v>
      </c>
      <c r="AJ145" s="84">
        <v>25.869879722595211</v>
      </c>
      <c r="AK145" s="84">
        <v>38.994850158691413</v>
      </c>
      <c r="AL145" s="84">
        <v>25.765411376953121</v>
      </c>
      <c r="AM145" s="84">
        <v>38.05341911315918</v>
      </c>
      <c r="AN145" s="84">
        <v>25.850404739379879</v>
      </c>
      <c r="AO145" s="84">
        <v>39.56071662902832</v>
      </c>
      <c r="AP145" s="84">
        <v>25.679933547973629</v>
      </c>
      <c r="AQ145" s="85"/>
      <c r="AR145" s="84">
        <v>3.2431783676147461</v>
      </c>
      <c r="AS145" s="84">
        <v>3.2791900634765621</v>
      </c>
      <c r="AT145" s="84">
        <v>3.2859535217285161</v>
      </c>
      <c r="AU145" s="84">
        <v>2.9534435272216801</v>
      </c>
      <c r="AV145" s="84">
        <v>12.49696254730225</v>
      </c>
      <c r="AW145" s="84">
        <v>14.13012027740479</v>
      </c>
      <c r="AX145" s="84">
        <v>13.229438781738279</v>
      </c>
      <c r="AY145" s="84">
        <v>12.2030143737793</v>
      </c>
      <c r="AZ145" s="84">
        <v>13.880783081054689</v>
      </c>
      <c r="BA145" s="85"/>
      <c r="BB145" s="83" t="s">
        <v>27</v>
      </c>
      <c r="BC145" s="83">
        <v>2.1</v>
      </c>
    </row>
    <row r="146" spans="1:55">
      <c r="A146" s="83" t="s">
        <v>214</v>
      </c>
      <c r="B146" s="83">
        <v>119</v>
      </c>
      <c r="C146" s="83" t="s">
        <v>564</v>
      </c>
      <c r="D146" s="83" t="s">
        <v>561</v>
      </c>
      <c r="E146" s="83" t="s">
        <v>562</v>
      </c>
      <c r="F146" s="83"/>
      <c r="G146" s="83"/>
      <c r="H146" s="83" t="s">
        <v>565</v>
      </c>
      <c r="I146" s="83" t="s">
        <v>27</v>
      </c>
      <c r="J146" s="83">
        <v>71</v>
      </c>
      <c r="K146" s="83" t="s">
        <v>23</v>
      </c>
      <c r="L146" s="95">
        <v>44362</v>
      </c>
      <c r="M146" s="83"/>
      <c r="N146" s="83"/>
      <c r="O146" s="99">
        <f t="shared" si="2"/>
        <v>2</v>
      </c>
      <c r="Q146" s="83">
        <v>15.31</v>
      </c>
      <c r="R146" s="83">
        <v>1.29</v>
      </c>
      <c r="S146" s="83">
        <v>0.38</v>
      </c>
      <c r="T146" s="83">
        <v>30</v>
      </c>
      <c r="U146" s="83">
        <v>459.4</v>
      </c>
      <c r="V146" s="83"/>
      <c r="W146" s="84">
        <v>30.7138671875</v>
      </c>
      <c r="X146" s="84">
        <v>26.111650466918949</v>
      </c>
      <c r="Y146" s="84"/>
      <c r="Z146" s="84"/>
      <c r="AA146" s="84">
        <v>30.38605976104736</v>
      </c>
      <c r="AB146" s="84">
        <v>26.170022010803219</v>
      </c>
      <c r="AC146" s="84">
        <v>29.055211067199711</v>
      </c>
      <c r="AD146" s="84">
        <v>25.903278350830082</v>
      </c>
      <c r="AE146" s="84">
        <v>28.714556694030762</v>
      </c>
      <c r="AF146" s="84">
        <v>26.102410316467289</v>
      </c>
      <c r="AG146" s="84">
        <v>40</v>
      </c>
      <c r="AH146" s="84">
        <v>27.795977592468262</v>
      </c>
      <c r="AI146" s="84">
        <v>40</v>
      </c>
      <c r="AJ146" s="84">
        <v>26.142746925354</v>
      </c>
      <c r="AK146" s="84">
        <v>38.673877716064453</v>
      </c>
      <c r="AL146" s="84">
        <v>26.191648483276371</v>
      </c>
      <c r="AM146" s="84">
        <v>40</v>
      </c>
      <c r="AN146" s="84">
        <v>26.180964469909672</v>
      </c>
      <c r="AO146" s="84">
        <v>39.222053527832031</v>
      </c>
      <c r="AP146" s="84">
        <v>26.229273796081539</v>
      </c>
      <c r="AQ146" s="85"/>
      <c r="AR146" s="84">
        <v>4.6022167205810547</v>
      </c>
      <c r="AS146" s="84">
        <v>4.2160377502441406</v>
      </c>
      <c r="AT146" s="84">
        <v>3.1519327163696289</v>
      </c>
      <c r="AU146" s="84">
        <v>2.612146377563477</v>
      </c>
      <c r="AV146" s="84">
        <v>12.20402240753174</v>
      </c>
      <c r="AW146" s="84">
        <v>13.857253074646</v>
      </c>
      <c r="AX146" s="84">
        <v>12.482229232788089</v>
      </c>
      <c r="AY146" s="84">
        <v>13.81903553009033</v>
      </c>
      <c r="AZ146" s="84">
        <v>12.99277973175049</v>
      </c>
      <c r="BA146" s="85"/>
      <c r="BB146" s="83" t="s">
        <v>27</v>
      </c>
      <c r="BC146" s="83">
        <v>2</v>
      </c>
    </row>
    <row r="147" spans="1:55">
      <c r="A147" s="83" t="s">
        <v>214</v>
      </c>
      <c r="B147" s="83">
        <v>120</v>
      </c>
      <c r="C147" s="83" t="s">
        <v>525</v>
      </c>
      <c r="D147" s="83" t="s">
        <v>200</v>
      </c>
      <c r="E147" s="83" t="s">
        <v>566</v>
      </c>
      <c r="F147" s="83"/>
      <c r="G147" s="83"/>
      <c r="H147" s="83" t="s">
        <v>567</v>
      </c>
      <c r="I147" s="83" t="s">
        <v>27</v>
      </c>
      <c r="J147" s="83">
        <v>82</v>
      </c>
      <c r="K147" s="83" t="s">
        <v>23</v>
      </c>
      <c r="L147" s="95">
        <v>44508</v>
      </c>
      <c r="M147" s="83"/>
      <c r="N147" s="83"/>
      <c r="O147" s="99">
        <f t="shared" si="2"/>
        <v>28.3</v>
      </c>
      <c r="Q147" s="83">
        <v>12.61</v>
      </c>
      <c r="R147" s="83">
        <v>1.22</v>
      </c>
      <c r="S147" s="83">
        <v>0.36</v>
      </c>
      <c r="T147" s="83">
        <v>30</v>
      </c>
      <c r="U147" s="83">
        <v>378.4</v>
      </c>
      <c r="V147" s="83"/>
      <c r="W147" s="84">
        <v>29.766219139099121</v>
      </c>
      <c r="X147" s="84">
        <v>25.725479125976559</v>
      </c>
      <c r="Y147" s="84"/>
      <c r="Z147" s="84"/>
      <c r="AA147" s="84">
        <v>29.205352783203121</v>
      </c>
      <c r="AB147" s="84">
        <v>25.78559494018555</v>
      </c>
      <c r="AC147" s="84">
        <v>26.798136711120609</v>
      </c>
      <c r="AD147" s="84">
        <v>25.070278167724609</v>
      </c>
      <c r="AE147" s="84">
        <v>25.804750442504879</v>
      </c>
      <c r="AF147" s="84">
        <v>25.449786186218262</v>
      </c>
      <c r="AG147" s="84">
        <v>40</v>
      </c>
      <c r="AH147" s="84">
        <v>27.40590763092041</v>
      </c>
      <c r="AI147" s="84">
        <v>40</v>
      </c>
      <c r="AJ147" s="84">
        <v>25.770045280456539</v>
      </c>
      <c r="AK147" s="84">
        <v>33.607248306274407</v>
      </c>
      <c r="AL147" s="84">
        <v>25.71898365020752</v>
      </c>
      <c r="AM147" s="84">
        <v>37.853763580322273</v>
      </c>
      <c r="AN147" s="84">
        <v>25.874814033508301</v>
      </c>
      <c r="AO147" s="84">
        <v>38.030477523803711</v>
      </c>
      <c r="AP147" s="84">
        <v>25.85466289520264</v>
      </c>
      <c r="AQ147" s="85"/>
      <c r="AR147" s="84">
        <v>4.0407400131225586</v>
      </c>
      <c r="AS147" s="84">
        <v>3.4197578430175781</v>
      </c>
      <c r="AT147" s="84">
        <v>1.7278585433959961</v>
      </c>
      <c r="AU147" s="84">
        <v>0.35496425628662109</v>
      </c>
      <c r="AV147" s="84">
        <v>12.59409236907959</v>
      </c>
      <c r="AW147" s="84">
        <v>14.229954719543461</v>
      </c>
      <c r="AX147" s="84">
        <v>7.8882646560668954</v>
      </c>
      <c r="AY147" s="84">
        <v>11.97894954681396</v>
      </c>
      <c r="AZ147" s="84">
        <v>12.175814628601071</v>
      </c>
      <c r="BA147" s="85"/>
      <c r="BB147" s="83" t="s">
        <v>27</v>
      </c>
      <c r="BC147" s="83">
        <v>28.3</v>
      </c>
    </row>
    <row r="148" spans="1:55">
      <c r="A148" s="83" t="s">
        <v>214</v>
      </c>
      <c r="B148" s="83">
        <v>121</v>
      </c>
      <c r="C148" s="83" t="s">
        <v>529</v>
      </c>
      <c r="D148" s="83" t="s">
        <v>203</v>
      </c>
      <c r="E148" s="83" t="s">
        <v>568</v>
      </c>
      <c r="F148" s="83"/>
      <c r="G148" s="83"/>
      <c r="H148" s="83" t="s">
        <v>569</v>
      </c>
      <c r="I148" s="83" t="s">
        <v>27</v>
      </c>
      <c r="J148" s="83">
        <v>62</v>
      </c>
      <c r="K148" s="83" t="s">
        <v>22</v>
      </c>
      <c r="L148" s="95">
        <v>44540</v>
      </c>
      <c r="M148" s="83"/>
      <c r="N148" s="83"/>
      <c r="O148" s="99">
        <f t="shared" si="2"/>
        <v>14</v>
      </c>
      <c r="Q148" s="83">
        <v>9.74</v>
      </c>
      <c r="R148" s="83">
        <v>1.19</v>
      </c>
      <c r="S148" s="83">
        <v>0.35</v>
      </c>
      <c r="T148" s="83">
        <v>30</v>
      </c>
      <c r="U148" s="83">
        <v>292.2</v>
      </c>
      <c r="V148" s="83"/>
      <c r="W148" s="84">
        <v>28.40053558349609</v>
      </c>
      <c r="X148" s="84">
        <v>25.93950176239014</v>
      </c>
      <c r="Y148" s="84"/>
      <c r="Z148" s="84"/>
      <c r="AA148" s="84">
        <v>27.304661750793461</v>
      </c>
      <c r="AB148" s="84">
        <v>25.94444370269775</v>
      </c>
      <c r="AC148" s="84">
        <v>28.879096984863281</v>
      </c>
      <c r="AD148" s="84">
        <v>25.688551902771</v>
      </c>
      <c r="AE148" s="84">
        <v>26.716170310974121</v>
      </c>
      <c r="AF148" s="84">
        <v>25.738082885742191</v>
      </c>
      <c r="AG148" s="84">
        <v>40</v>
      </c>
      <c r="AH148" s="84">
        <v>27.386030197143551</v>
      </c>
      <c r="AI148" s="84">
        <v>37.996599197387702</v>
      </c>
      <c r="AJ148" s="84">
        <v>25.94147777557373</v>
      </c>
      <c r="AK148" s="84">
        <v>36.203933715820312</v>
      </c>
      <c r="AL148" s="84">
        <v>25.959006309509281</v>
      </c>
      <c r="AM148" s="84">
        <v>33.094646453857422</v>
      </c>
      <c r="AN148" s="84">
        <v>26.0353889465332</v>
      </c>
      <c r="AO148" s="84">
        <v>36.974239349365227</v>
      </c>
      <c r="AP148" s="84">
        <v>25.940237045288089</v>
      </c>
      <c r="AQ148" s="85"/>
      <c r="AR148" s="84">
        <v>2.461033821105957</v>
      </c>
      <c r="AS148" s="84">
        <v>1.3602180480957029</v>
      </c>
      <c r="AT148" s="84">
        <v>3.1905450820922852</v>
      </c>
      <c r="AU148" s="84">
        <v>0.97808742523193359</v>
      </c>
      <c r="AV148" s="84">
        <v>12.613969802856451</v>
      </c>
      <c r="AW148" s="84">
        <v>12.05512142181396</v>
      </c>
      <c r="AX148" s="84">
        <v>10.24492740631104</v>
      </c>
      <c r="AY148" s="84">
        <v>7.0592575073242188</v>
      </c>
      <c r="AZ148" s="84">
        <v>11.03400230407715</v>
      </c>
      <c r="BA148" s="85"/>
      <c r="BB148" s="83" t="s">
        <v>27</v>
      </c>
      <c r="BC148" s="83">
        <v>14</v>
      </c>
    </row>
    <row r="149" spans="1:55">
      <c r="A149" s="83" t="s">
        <v>214</v>
      </c>
      <c r="B149" s="83">
        <v>122</v>
      </c>
      <c r="C149" s="83" t="s">
        <v>532</v>
      </c>
      <c r="D149" s="83" t="s">
        <v>206</v>
      </c>
      <c r="E149" s="83" t="s">
        <v>570</v>
      </c>
      <c r="F149" s="83"/>
      <c r="G149" s="83"/>
      <c r="H149" s="83" t="s">
        <v>571</v>
      </c>
      <c r="I149" s="83" t="s">
        <v>27</v>
      </c>
      <c r="J149" s="83">
        <v>68</v>
      </c>
      <c r="K149" s="83" t="s">
        <v>22</v>
      </c>
      <c r="L149" s="83" t="s">
        <v>572</v>
      </c>
      <c r="M149" s="83"/>
      <c r="N149" s="83"/>
      <c r="O149" s="99">
        <f t="shared" si="2"/>
        <v>48</v>
      </c>
      <c r="Q149" s="83">
        <v>11.95</v>
      </c>
      <c r="R149" s="83">
        <v>1.26</v>
      </c>
      <c r="S149" s="83">
        <v>0.38</v>
      </c>
      <c r="T149" s="83">
        <v>30</v>
      </c>
      <c r="U149" s="83">
        <v>358.4</v>
      </c>
      <c r="V149" s="83"/>
      <c r="W149" s="84">
        <v>27.644565582275391</v>
      </c>
      <c r="X149" s="84">
        <v>26.323910713195801</v>
      </c>
      <c r="Y149" s="84"/>
      <c r="Z149" s="84"/>
      <c r="AA149" s="84">
        <v>26.608442306518551</v>
      </c>
      <c r="AB149" s="84">
        <v>26.311286926269531</v>
      </c>
      <c r="AC149" s="84">
        <v>26.200319290161129</v>
      </c>
      <c r="AD149" s="84">
        <v>25.585291862487789</v>
      </c>
      <c r="AE149" s="84">
        <v>26.17035961151123</v>
      </c>
      <c r="AF149" s="84">
        <v>26.039128303527828</v>
      </c>
      <c r="AG149" s="84">
        <v>39.583267211914062</v>
      </c>
      <c r="AH149" s="84">
        <v>27.977874755859379</v>
      </c>
      <c r="AI149" s="84">
        <v>35.492212295532227</v>
      </c>
      <c r="AJ149" s="84">
        <v>26.418587684631351</v>
      </c>
      <c r="AK149" s="84">
        <v>34.609086990356452</v>
      </c>
      <c r="AL149" s="84">
        <v>26.422135353088379</v>
      </c>
      <c r="AM149" s="84">
        <v>32.305141448974609</v>
      </c>
      <c r="AN149" s="84">
        <v>26.450954437255859</v>
      </c>
      <c r="AO149" s="84">
        <v>35.337961196899407</v>
      </c>
      <c r="AP149" s="84">
        <v>26.325431823730469</v>
      </c>
      <c r="AQ149" s="85"/>
      <c r="AR149" s="84">
        <v>1.3206548690795901</v>
      </c>
      <c r="AS149" s="84">
        <v>0.29715538024902338</v>
      </c>
      <c r="AT149" s="84">
        <v>0.61502742767333984</v>
      </c>
      <c r="AU149" s="84">
        <v>0.13123130798339841</v>
      </c>
      <c r="AV149" s="84">
        <v>11.605392456054689</v>
      </c>
      <c r="AW149" s="84">
        <v>9.0736246109008789</v>
      </c>
      <c r="AX149" s="84">
        <v>8.1869516372680664</v>
      </c>
      <c r="AY149" s="84">
        <v>5.85418701171875</v>
      </c>
      <c r="AZ149" s="84">
        <v>9.0125293731689453</v>
      </c>
      <c r="BA149" s="85"/>
      <c r="BB149" s="83" t="s">
        <v>27</v>
      </c>
      <c r="BC149" s="83">
        <v>48</v>
      </c>
    </row>
    <row r="150" spans="1:55">
      <c r="A150" s="83" t="s">
        <v>214</v>
      </c>
      <c r="B150" s="83">
        <v>123</v>
      </c>
      <c r="C150" s="83" t="s">
        <v>535</v>
      </c>
      <c r="D150" s="83" t="s">
        <v>209</v>
      </c>
      <c r="E150" s="83" t="s">
        <v>573</v>
      </c>
      <c r="F150" s="83"/>
      <c r="G150" s="83"/>
      <c r="H150" s="83" t="s">
        <v>574</v>
      </c>
      <c r="I150" s="83" t="s">
        <v>27</v>
      </c>
      <c r="J150" s="83">
        <v>74</v>
      </c>
      <c r="K150" s="83" t="s">
        <v>22</v>
      </c>
      <c r="L150" s="83" t="s">
        <v>575</v>
      </c>
      <c r="M150" s="83"/>
      <c r="N150" s="83"/>
      <c r="O150" s="99">
        <f t="shared" si="2"/>
        <v>70.400000000000006</v>
      </c>
      <c r="Q150" s="83">
        <v>9.57</v>
      </c>
      <c r="R150" s="83">
        <v>1.18</v>
      </c>
      <c r="S150" s="83">
        <v>0.34</v>
      </c>
      <c r="T150" s="83">
        <v>30</v>
      </c>
      <c r="U150" s="83">
        <v>287</v>
      </c>
      <c r="V150" s="83"/>
      <c r="W150" s="84">
        <v>28.457780838012699</v>
      </c>
      <c r="X150" s="84">
        <v>26.18653678894043</v>
      </c>
      <c r="Y150" s="84"/>
      <c r="Z150" s="84"/>
      <c r="AA150" s="84">
        <v>25.344223022460941</v>
      </c>
      <c r="AB150" s="84">
        <v>26.146662712097172</v>
      </c>
      <c r="AC150" s="84">
        <v>26.81315994262695</v>
      </c>
      <c r="AD150" s="84">
        <v>25.566082954406738</v>
      </c>
      <c r="AE150" s="84">
        <v>25.320465087890621</v>
      </c>
      <c r="AF150" s="84">
        <v>25.829936981201168</v>
      </c>
      <c r="AG150" s="84">
        <v>40</v>
      </c>
      <c r="AH150" s="84">
        <v>27.782329559326168</v>
      </c>
      <c r="AI150" s="84">
        <v>37.046100616455078</v>
      </c>
      <c r="AJ150" s="84">
        <v>26.390216827392582</v>
      </c>
      <c r="AK150" s="84">
        <v>33.645772933959961</v>
      </c>
      <c r="AL150" s="84">
        <v>26.281037330627441</v>
      </c>
      <c r="AM150" s="84">
        <v>33.508443832397461</v>
      </c>
      <c r="AN150" s="84">
        <v>26.405971527099609</v>
      </c>
      <c r="AO150" s="84">
        <v>36.63543701171875</v>
      </c>
      <c r="AP150" s="84">
        <v>26.218827247619629</v>
      </c>
      <c r="AQ150" s="85"/>
      <c r="AR150" s="84">
        <v>2.2712440490722661</v>
      </c>
      <c r="AS150" s="84">
        <v>-0.80243968963623047</v>
      </c>
      <c r="AT150" s="84">
        <v>1.2470769882202151</v>
      </c>
      <c r="AU150" s="84">
        <v>-0.50947189331054688</v>
      </c>
      <c r="AV150" s="84">
        <v>12.21767044067383</v>
      </c>
      <c r="AW150" s="84">
        <v>10.6558837890625</v>
      </c>
      <c r="AX150" s="84">
        <v>7.3647356033325204</v>
      </c>
      <c r="AY150" s="84">
        <v>7.1024723052978516</v>
      </c>
      <c r="AZ150" s="84">
        <v>10.416609764099119</v>
      </c>
      <c r="BA150" s="85"/>
      <c r="BB150" s="83" t="s">
        <v>27</v>
      </c>
      <c r="BC150" s="83">
        <v>70.400000000000006</v>
      </c>
    </row>
    <row r="151" spans="1:55">
      <c r="A151" s="83" t="s">
        <v>214</v>
      </c>
      <c r="B151" s="83">
        <v>124</v>
      </c>
      <c r="C151" s="83" t="s">
        <v>538</v>
      </c>
      <c r="D151" s="83" t="s">
        <v>212</v>
      </c>
      <c r="E151" s="83" t="s">
        <v>576</v>
      </c>
      <c r="F151" s="83"/>
      <c r="G151" s="83"/>
      <c r="H151" s="83" t="s">
        <v>577</v>
      </c>
      <c r="I151" s="83" t="s">
        <v>27</v>
      </c>
      <c r="J151" s="83">
        <v>75</v>
      </c>
      <c r="K151" s="83" t="s">
        <v>23</v>
      </c>
      <c r="L151" s="83" t="s">
        <v>578</v>
      </c>
      <c r="M151" s="83"/>
      <c r="N151" s="83"/>
      <c r="O151" s="99">
        <f t="shared" si="2"/>
        <v>29.3</v>
      </c>
      <c r="Q151" s="83">
        <v>13.34</v>
      </c>
      <c r="R151" s="83">
        <v>1.25</v>
      </c>
      <c r="S151" s="83">
        <v>0.39</v>
      </c>
      <c r="T151" s="83">
        <v>30</v>
      </c>
      <c r="U151" s="83">
        <v>400.1</v>
      </c>
      <c r="V151" s="83"/>
      <c r="W151" s="84">
        <v>26.635406494140621</v>
      </c>
      <c r="X151" s="84">
        <v>25.109439849853519</v>
      </c>
      <c r="Y151" s="84"/>
      <c r="Z151" s="84"/>
      <c r="AA151" s="84">
        <v>25.93552303314209</v>
      </c>
      <c r="AB151" s="84">
        <v>25.153440475463871</v>
      </c>
      <c r="AC151" s="84">
        <v>25.457904815673832</v>
      </c>
      <c r="AD151" s="84">
        <v>24.46163272857666</v>
      </c>
      <c r="AE151" s="84">
        <v>25.43853759765625</v>
      </c>
      <c r="AF151" s="84">
        <v>24.94963550567627</v>
      </c>
      <c r="AG151" s="84">
        <v>38.967849731445312</v>
      </c>
      <c r="AH151" s="84">
        <v>26.687247276306149</v>
      </c>
      <c r="AI151" s="84">
        <v>34.956092834472663</v>
      </c>
      <c r="AJ151" s="84">
        <v>25.3187141418457</v>
      </c>
      <c r="AK151" s="84">
        <v>33.981447219848633</v>
      </c>
      <c r="AL151" s="84">
        <v>25.202993392944339</v>
      </c>
      <c r="AM151" s="84">
        <v>31.393571853637699</v>
      </c>
      <c r="AN151" s="84">
        <v>25.32495212554932</v>
      </c>
      <c r="AO151" s="84">
        <v>34.19080924987793</v>
      </c>
      <c r="AP151" s="84">
        <v>25.25679874420166</v>
      </c>
      <c r="AQ151" s="85"/>
      <c r="AR151" s="84">
        <v>1.5259666442871089</v>
      </c>
      <c r="AS151" s="84">
        <v>0.78208255767822266</v>
      </c>
      <c r="AT151" s="84">
        <v>0.99627208709716797</v>
      </c>
      <c r="AU151" s="84">
        <v>0.48890209197998052</v>
      </c>
      <c r="AV151" s="84">
        <v>12.28060245513916</v>
      </c>
      <c r="AW151" s="84">
        <v>9.6373786926269531</v>
      </c>
      <c r="AX151" s="84">
        <v>8.7784538269042969</v>
      </c>
      <c r="AY151" s="84">
        <v>6.0686197280883789</v>
      </c>
      <c r="AZ151" s="84">
        <v>8.9340105056762695</v>
      </c>
      <c r="BA151" s="85"/>
      <c r="BB151" s="83" t="s">
        <v>27</v>
      </c>
      <c r="BC151" s="83">
        <v>29.3</v>
      </c>
    </row>
    <row r="152" spans="1:55">
      <c r="A152" s="83" t="s">
        <v>214</v>
      </c>
      <c r="B152" s="83">
        <v>125</v>
      </c>
      <c r="C152" s="83" t="s">
        <v>541</v>
      </c>
      <c r="D152" s="83" t="s">
        <v>579</v>
      </c>
      <c r="E152" s="83" t="s">
        <v>580</v>
      </c>
      <c r="F152" s="83"/>
      <c r="G152" s="83"/>
      <c r="H152" s="83" t="s">
        <v>581</v>
      </c>
      <c r="I152" s="83" t="s">
        <v>27</v>
      </c>
      <c r="J152" s="83">
        <v>71</v>
      </c>
      <c r="K152" s="83" t="s">
        <v>22</v>
      </c>
      <c r="L152" s="83" t="s">
        <v>582</v>
      </c>
      <c r="M152" s="83"/>
      <c r="N152" s="83"/>
      <c r="O152" s="99">
        <f t="shared" si="2"/>
        <v>49.3</v>
      </c>
      <c r="Q152" s="83">
        <v>18.46</v>
      </c>
      <c r="R152" s="83">
        <v>1.3</v>
      </c>
      <c r="S152" s="83">
        <v>0.42</v>
      </c>
      <c r="T152" s="83">
        <v>30</v>
      </c>
      <c r="U152" s="83">
        <v>553.9</v>
      </c>
      <c r="V152" s="83"/>
      <c r="W152" s="84">
        <v>28.346919059753422</v>
      </c>
      <c r="X152" s="84">
        <v>26.746553421020511</v>
      </c>
      <c r="Y152" s="84"/>
      <c r="Z152" s="84"/>
      <c r="AA152" s="84">
        <v>27.156764030456539</v>
      </c>
      <c r="AB152" s="84">
        <v>26.856020927429199</v>
      </c>
      <c r="AC152" s="84">
        <v>26.906167984008789</v>
      </c>
      <c r="AD152" s="84">
        <v>25.968973159790039</v>
      </c>
      <c r="AE152" s="84">
        <v>26.899556159973141</v>
      </c>
      <c r="AF152" s="84">
        <v>26.544415473937988</v>
      </c>
      <c r="AG152" s="84">
        <v>40</v>
      </c>
      <c r="AH152" s="84">
        <v>28.320038795471191</v>
      </c>
      <c r="AI152" s="84">
        <v>37.135629653930657</v>
      </c>
      <c r="AJ152" s="84">
        <v>26.798751831054691</v>
      </c>
      <c r="AK152" s="84">
        <v>35.149057388305657</v>
      </c>
      <c r="AL152" s="84">
        <v>26.802975654602051</v>
      </c>
      <c r="AM152" s="84">
        <v>33.138967514038093</v>
      </c>
      <c r="AN152" s="84">
        <v>26.927122116088871</v>
      </c>
      <c r="AO152" s="84">
        <v>36.545309066772461</v>
      </c>
      <c r="AP152" s="84">
        <v>26.967155456542969</v>
      </c>
      <c r="AQ152" s="85"/>
      <c r="AR152" s="84">
        <v>1.6003656387329099</v>
      </c>
      <c r="AS152" s="84">
        <v>0.30074310302734381</v>
      </c>
      <c r="AT152" s="84">
        <v>0.93719482421875</v>
      </c>
      <c r="AU152" s="84">
        <v>0.35514068603515619</v>
      </c>
      <c r="AV152" s="84">
        <v>11.67996120452881</v>
      </c>
      <c r="AW152" s="84">
        <v>10.33687782287598</v>
      </c>
      <c r="AX152" s="84">
        <v>8.3460817337036133</v>
      </c>
      <c r="AY152" s="84">
        <v>6.2118453979492188</v>
      </c>
      <c r="AZ152" s="84">
        <v>9.5781536102294922</v>
      </c>
      <c r="BA152" s="85"/>
      <c r="BB152" s="83" t="s">
        <v>27</v>
      </c>
      <c r="BC152" s="83">
        <v>49.3</v>
      </c>
    </row>
    <row r="153" spans="1:55">
      <c r="A153" s="83" t="s">
        <v>214</v>
      </c>
      <c r="B153" s="83">
        <v>126</v>
      </c>
      <c r="C153" s="83" t="s">
        <v>546</v>
      </c>
      <c r="D153" s="83" t="s">
        <v>579</v>
      </c>
      <c r="E153" s="83" t="s">
        <v>580</v>
      </c>
      <c r="F153" s="83"/>
      <c r="G153" s="83"/>
      <c r="H153" s="83" t="s">
        <v>583</v>
      </c>
      <c r="I153" s="83" t="s">
        <v>27</v>
      </c>
      <c r="J153" s="83">
        <v>71</v>
      </c>
      <c r="K153" s="83" t="s">
        <v>22</v>
      </c>
      <c r="L153" s="83" t="s">
        <v>582</v>
      </c>
      <c r="M153" s="83"/>
      <c r="N153" s="83"/>
      <c r="O153" s="99">
        <f t="shared" si="2"/>
        <v>33.4</v>
      </c>
      <c r="Q153" s="83">
        <v>17.010000000000002</v>
      </c>
      <c r="R153" s="83">
        <v>1.29</v>
      </c>
      <c r="S153" s="83">
        <v>0.41</v>
      </c>
      <c r="T153" s="83">
        <v>30</v>
      </c>
      <c r="U153" s="83">
        <v>510.4</v>
      </c>
      <c r="V153" s="83"/>
      <c r="W153" s="84">
        <v>28.887152671813961</v>
      </c>
      <c r="X153" s="84">
        <v>25.958392143249512</v>
      </c>
      <c r="Y153" s="84"/>
      <c r="Z153" s="84"/>
      <c r="AA153" s="84">
        <v>26.799737930297852</v>
      </c>
      <c r="AB153" s="84">
        <v>25.811455726623539</v>
      </c>
      <c r="AC153" s="84">
        <v>27.275318145751939</v>
      </c>
      <c r="AD153" s="84">
        <v>25.022581100463871</v>
      </c>
      <c r="AE153" s="84">
        <v>28.036161422729489</v>
      </c>
      <c r="AF153" s="84">
        <v>25.570493698120121</v>
      </c>
      <c r="AG153" s="84">
        <v>40</v>
      </c>
      <c r="AH153" s="84">
        <v>27.36152267456055</v>
      </c>
      <c r="AI153" s="84">
        <v>37.159219741821289</v>
      </c>
      <c r="AJ153" s="84">
        <v>25.77833461761475</v>
      </c>
      <c r="AK153" s="84">
        <v>34.762302398681641</v>
      </c>
      <c r="AL153" s="84">
        <v>25.7694206237793</v>
      </c>
      <c r="AM153" s="84">
        <v>32.504926681518548</v>
      </c>
      <c r="AN153" s="84">
        <v>25.883640289306641</v>
      </c>
      <c r="AO153" s="84">
        <v>35.889270782470703</v>
      </c>
      <c r="AP153" s="84">
        <v>25.966032981872559</v>
      </c>
      <c r="AQ153" s="85"/>
      <c r="AR153" s="84">
        <v>2.9287605285644531</v>
      </c>
      <c r="AS153" s="84">
        <v>0.98828220367431641</v>
      </c>
      <c r="AT153" s="84">
        <v>2.2527370452880682</v>
      </c>
      <c r="AU153" s="84">
        <v>2.465667724609375</v>
      </c>
      <c r="AV153" s="84">
        <v>12.63847732543945</v>
      </c>
      <c r="AW153" s="84">
        <v>11.380885124206539</v>
      </c>
      <c r="AX153" s="84">
        <v>8.9928817749023438</v>
      </c>
      <c r="AY153" s="84">
        <v>6.6212863922119141</v>
      </c>
      <c r="AZ153" s="84">
        <v>9.9232378005981445</v>
      </c>
      <c r="BA153" s="85"/>
      <c r="BB153" s="83" t="s">
        <v>27</v>
      </c>
      <c r="BC153" s="83">
        <v>33.4</v>
      </c>
    </row>
    <row r="154" spans="1:55">
      <c r="A154" s="83" t="s">
        <v>214</v>
      </c>
      <c r="B154" s="83">
        <v>127</v>
      </c>
      <c r="C154" s="83" t="s">
        <v>548</v>
      </c>
      <c r="D154" s="83" t="s">
        <v>584</v>
      </c>
      <c r="E154" s="83" t="s">
        <v>585</v>
      </c>
      <c r="F154" s="83"/>
      <c r="G154" s="83"/>
      <c r="H154" s="83" t="s">
        <v>586</v>
      </c>
      <c r="I154" s="83" t="s">
        <v>27</v>
      </c>
      <c r="J154" s="83">
        <v>59</v>
      </c>
      <c r="K154" s="83" t="s">
        <v>22</v>
      </c>
      <c r="L154" s="83" t="s">
        <v>587</v>
      </c>
      <c r="M154" s="83"/>
      <c r="N154" s="83"/>
      <c r="O154" s="99">
        <f t="shared" si="2"/>
        <v>38.4</v>
      </c>
      <c r="Q154" s="83">
        <v>14.38</v>
      </c>
      <c r="R154" s="83">
        <v>1.24</v>
      </c>
      <c r="S154" s="83">
        <v>0.38</v>
      </c>
      <c r="T154" s="83">
        <v>30</v>
      </c>
      <c r="U154" s="83">
        <v>431.4</v>
      </c>
      <c r="V154" s="83"/>
      <c r="W154" s="84">
        <v>29.520524024963379</v>
      </c>
      <c r="X154" s="84">
        <v>25.94102764129639</v>
      </c>
      <c r="Y154" s="84"/>
      <c r="Z154" s="84"/>
      <c r="AA154" s="84">
        <v>27.315655708312988</v>
      </c>
      <c r="AB154" s="84">
        <v>25.806405067443851</v>
      </c>
      <c r="AC154" s="84">
        <v>26.562544822692871</v>
      </c>
      <c r="AD154" s="84">
        <v>24.741936683654789</v>
      </c>
      <c r="AE154" s="84">
        <v>27.875408172607418</v>
      </c>
      <c r="AF154" s="84">
        <v>25.576419830322269</v>
      </c>
      <c r="AG154" s="84">
        <v>39.991943359375</v>
      </c>
      <c r="AH154" s="84">
        <v>27.43077373504639</v>
      </c>
      <c r="AI154" s="84">
        <v>37.252754211425781</v>
      </c>
      <c r="AJ154" s="84">
        <v>25.813763618469238</v>
      </c>
      <c r="AK154" s="84">
        <v>34.01971435546875</v>
      </c>
      <c r="AL154" s="84">
        <v>25.823981285095211</v>
      </c>
      <c r="AM154" s="84">
        <v>33.427972793579102</v>
      </c>
      <c r="AN154" s="84">
        <v>26.057320594787601</v>
      </c>
      <c r="AO154" s="84">
        <v>35.082561492919922</v>
      </c>
      <c r="AP154" s="84">
        <v>25.799295425415039</v>
      </c>
      <c r="AQ154" s="85"/>
      <c r="AR154" s="84">
        <v>3.5794963836669922</v>
      </c>
      <c r="AS154" s="84">
        <v>1.5092506408691411</v>
      </c>
      <c r="AT154" s="84">
        <v>1.8206081390380859</v>
      </c>
      <c r="AU154" s="84">
        <v>2.2989883422851558</v>
      </c>
      <c r="AV154" s="84">
        <v>12.56116962432861</v>
      </c>
      <c r="AW154" s="84">
        <v>11.438990592956539</v>
      </c>
      <c r="AX154" s="84">
        <v>8.1957330703735352</v>
      </c>
      <c r="AY154" s="84">
        <v>7.3706521987915039</v>
      </c>
      <c r="AZ154" s="84">
        <v>9.2832660675048828</v>
      </c>
      <c r="BA154" s="85"/>
      <c r="BB154" s="83" t="s">
        <v>27</v>
      </c>
      <c r="BC154" s="83">
        <v>38.4</v>
      </c>
    </row>
    <row r="155" spans="1:55">
      <c r="A155" s="83" t="s">
        <v>214</v>
      </c>
      <c r="B155" s="83">
        <v>128</v>
      </c>
      <c r="C155" s="83" t="s">
        <v>553</v>
      </c>
      <c r="D155" s="83" t="s">
        <v>584</v>
      </c>
      <c r="E155" s="83" t="s">
        <v>585</v>
      </c>
      <c r="F155" s="83"/>
      <c r="G155" s="83"/>
      <c r="H155" s="83" t="s">
        <v>588</v>
      </c>
      <c r="I155" s="83" t="s">
        <v>27</v>
      </c>
      <c r="J155" s="83">
        <v>59</v>
      </c>
      <c r="K155" s="83" t="s">
        <v>22</v>
      </c>
      <c r="L155" s="83" t="s">
        <v>587</v>
      </c>
      <c r="M155" s="83"/>
      <c r="N155" s="83"/>
      <c r="O155" s="99">
        <f t="shared" si="2"/>
        <v>27</v>
      </c>
      <c r="Q155" s="83">
        <v>14.17</v>
      </c>
      <c r="R155" s="83">
        <v>1.25</v>
      </c>
      <c r="S155" s="83">
        <v>0.4</v>
      </c>
      <c r="T155" s="83">
        <v>30</v>
      </c>
      <c r="U155" s="83">
        <v>425.2</v>
      </c>
      <c r="V155" s="83"/>
      <c r="W155" s="84">
        <v>28.839886665344238</v>
      </c>
      <c r="X155" s="84">
        <v>25.26946926116943</v>
      </c>
      <c r="Y155" s="84"/>
      <c r="Z155" s="84"/>
      <c r="AA155" s="84">
        <v>26.918182373046879</v>
      </c>
      <c r="AB155" s="84">
        <v>25.26257228851318</v>
      </c>
      <c r="AC155" s="84">
        <v>26.142482757568359</v>
      </c>
      <c r="AD155" s="84">
        <v>24.27043437957764</v>
      </c>
      <c r="AE155" s="84">
        <v>27.786149024963379</v>
      </c>
      <c r="AF155" s="84">
        <v>24.995038032531738</v>
      </c>
      <c r="AG155" s="84">
        <v>40</v>
      </c>
      <c r="AH155" s="84">
        <v>26.720840454101559</v>
      </c>
      <c r="AI155" s="84">
        <v>37.671119689941413</v>
      </c>
      <c r="AJ155" s="84">
        <v>25.267793655395511</v>
      </c>
      <c r="AK155" s="84">
        <v>34.033105850219727</v>
      </c>
      <c r="AL155" s="84">
        <v>25.145330429077148</v>
      </c>
      <c r="AM155" s="84">
        <v>33.141456604003913</v>
      </c>
      <c r="AN155" s="84">
        <v>25.234478950500488</v>
      </c>
      <c r="AO155" s="84">
        <v>35.330608367919922</v>
      </c>
      <c r="AP155" s="84">
        <v>25.19290733337402</v>
      </c>
      <c r="AQ155" s="85"/>
      <c r="AR155" s="84">
        <v>3.5704174041748051</v>
      </c>
      <c r="AS155" s="84">
        <v>1.655610084533691</v>
      </c>
      <c r="AT155" s="84">
        <v>1.8720483779907231</v>
      </c>
      <c r="AU155" s="84">
        <v>2.7911109924316411</v>
      </c>
      <c r="AV155" s="84">
        <v>13.279159545898439</v>
      </c>
      <c r="AW155" s="84">
        <v>12.4033260345459</v>
      </c>
      <c r="AX155" s="84">
        <v>8.8877754211425781</v>
      </c>
      <c r="AY155" s="84">
        <v>7.906977653503418</v>
      </c>
      <c r="AZ155" s="84">
        <v>10.1377010345459</v>
      </c>
      <c r="BA155" s="85"/>
      <c r="BB155" s="83" t="s">
        <v>27</v>
      </c>
      <c r="BC155" s="83">
        <v>27</v>
      </c>
    </row>
    <row r="156" spans="1:55">
      <c r="A156" s="83" t="s">
        <v>214</v>
      </c>
      <c r="B156" s="83">
        <v>129</v>
      </c>
      <c r="C156" s="83" t="s">
        <v>555</v>
      </c>
      <c r="D156" s="83" t="s">
        <v>589</v>
      </c>
      <c r="E156" s="83" t="s">
        <v>590</v>
      </c>
      <c r="F156" s="83"/>
      <c r="G156" s="83"/>
      <c r="H156" s="83" t="s">
        <v>591</v>
      </c>
      <c r="I156" s="83" t="s">
        <v>27</v>
      </c>
      <c r="J156" s="83">
        <v>76</v>
      </c>
      <c r="K156" s="83" t="s">
        <v>22</v>
      </c>
      <c r="L156" s="83" t="s">
        <v>592</v>
      </c>
      <c r="M156" s="83"/>
      <c r="N156" s="83"/>
      <c r="O156" s="99">
        <f t="shared" si="2"/>
        <v>14.6</v>
      </c>
      <c r="Q156" s="83">
        <v>24.5</v>
      </c>
      <c r="R156" s="83">
        <v>1.34</v>
      </c>
      <c r="S156" s="83">
        <v>0.44</v>
      </c>
      <c r="T156" s="83">
        <v>30</v>
      </c>
      <c r="U156" s="83">
        <v>735</v>
      </c>
      <c r="V156" s="83"/>
      <c r="W156" s="84">
        <v>29.762050628662109</v>
      </c>
      <c r="X156" s="84">
        <v>24.43992710113525</v>
      </c>
      <c r="Y156" s="84"/>
      <c r="Z156" s="84"/>
      <c r="AA156" s="84">
        <v>26.518332481384281</v>
      </c>
      <c r="AB156" s="84">
        <v>24.426630973815922</v>
      </c>
      <c r="AC156" s="84">
        <v>28.104642868041989</v>
      </c>
      <c r="AD156" s="84">
        <v>24.096487045288089</v>
      </c>
      <c r="AE156" s="84">
        <v>27.730339050292969</v>
      </c>
      <c r="AF156" s="84">
        <v>24.313339233398441</v>
      </c>
      <c r="AG156" s="84">
        <v>40</v>
      </c>
      <c r="AH156" s="84">
        <v>25.76432037353516</v>
      </c>
      <c r="AI156" s="84">
        <v>37.854877471923828</v>
      </c>
      <c r="AJ156" s="84">
        <v>24.413813591003422</v>
      </c>
      <c r="AK156" s="84">
        <v>33.845054626464837</v>
      </c>
      <c r="AL156" s="84">
        <v>24.32265472412109</v>
      </c>
      <c r="AM156" s="84">
        <v>34.738697052001953</v>
      </c>
      <c r="AN156" s="84">
        <v>24.479971885681149</v>
      </c>
      <c r="AO156" s="84">
        <v>35.90092658996582</v>
      </c>
      <c r="AP156" s="84">
        <v>24.414936065673832</v>
      </c>
      <c r="AQ156" s="85"/>
      <c r="AR156" s="84">
        <v>5.3221235275268546</v>
      </c>
      <c r="AS156" s="84">
        <v>2.0917015075683589</v>
      </c>
      <c r="AT156" s="84">
        <v>4.0081558227539062</v>
      </c>
      <c r="AU156" s="84">
        <v>3.4169998168945308</v>
      </c>
      <c r="AV156" s="84">
        <v>14.23567962646484</v>
      </c>
      <c r="AW156" s="84">
        <v>13.44106388092041</v>
      </c>
      <c r="AX156" s="84">
        <v>9.52239990234375</v>
      </c>
      <c r="AY156" s="84">
        <v>10.258725166320801</v>
      </c>
      <c r="AZ156" s="84">
        <v>11.48599052429199</v>
      </c>
      <c r="BA156" s="85"/>
      <c r="BB156" s="83" t="s">
        <v>27</v>
      </c>
      <c r="BC156" s="83">
        <v>14.6</v>
      </c>
    </row>
    <row r="157" spans="1:55">
      <c r="A157" s="83" t="s">
        <v>214</v>
      </c>
      <c r="B157" s="83">
        <v>130</v>
      </c>
      <c r="C157" s="83" t="s">
        <v>559</v>
      </c>
      <c r="D157" s="83" t="s">
        <v>589</v>
      </c>
      <c r="E157" s="83" t="s">
        <v>590</v>
      </c>
      <c r="F157" s="83"/>
      <c r="G157" s="83"/>
      <c r="H157" s="83" t="s">
        <v>593</v>
      </c>
      <c r="I157" s="83" t="s">
        <v>27</v>
      </c>
      <c r="J157" s="83">
        <v>76</v>
      </c>
      <c r="K157" s="83" t="s">
        <v>22</v>
      </c>
      <c r="L157" s="83" t="s">
        <v>592</v>
      </c>
      <c r="M157" s="83"/>
      <c r="N157" s="83"/>
      <c r="O157" s="99">
        <f t="shared" si="2"/>
        <v>3.3</v>
      </c>
      <c r="Q157" s="83">
        <v>22.7</v>
      </c>
      <c r="R157" s="83">
        <v>1.31</v>
      </c>
      <c r="S157" s="83">
        <v>0.41</v>
      </c>
      <c r="T157" s="83">
        <v>30</v>
      </c>
      <c r="U157" s="83">
        <v>681</v>
      </c>
      <c r="V157" s="83"/>
      <c r="W157" s="84">
        <v>32.739505767822273</v>
      </c>
      <c r="X157" s="84">
        <v>24.29136943817139</v>
      </c>
      <c r="Y157" s="84"/>
      <c r="Z157" s="84"/>
      <c r="AA157" s="84">
        <v>27.294625282287601</v>
      </c>
      <c r="AB157" s="84">
        <v>23.978889465332031</v>
      </c>
      <c r="AC157" s="84">
        <v>28.570903778076168</v>
      </c>
      <c r="AD157" s="84">
        <v>23.90019416809082</v>
      </c>
      <c r="AE157" s="84">
        <v>27.93516635894775</v>
      </c>
      <c r="AF157" s="84">
        <v>23.89047908782959</v>
      </c>
      <c r="AG157" s="84">
        <v>40</v>
      </c>
      <c r="AH157" s="84">
        <v>25.410544395446781</v>
      </c>
      <c r="AI157" s="84">
        <v>39.677305221557617</v>
      </c>
      <c r="AJ157" s="84">
        <v>24.072454452514648</v>
      </c>
      <c r="AK157" s="84">
        <v>35.23944091796875</v>
      </c>
      <c r="AL157" s="84">
        <v>23.951230049133301</v>
      </c>
      <c r="AM157" s="84">
        <v>35.601902008056641</v>
      </c>
      <c r="AN157" s="84">
        <v>24.255754470825199</v>
      </c>
      <c r="AO157" s="84">
        <v>36.054927825927727</v>
      </c>
      <c r="AP157" s="84">
        <v>23.954986572265621</v>
      </c>
      <c r="AQ157" s="85"/>
      <c r="AR157" s="84">
        <v>8.4481363296508789</v>
      </c>
      <c r="AS157" s="84">
        <v>3.315735816955566</v>
      </c>
      <c r="AT157" s="84">
        <v>4.6707096099853516</v>
      </c>
      <c r="AU157" s="84">
        <v>4.0446872711181641</v>
      </c>
      <c r="AV157" s="84">
        <v>14.589455604553221</v>
      </c>
      <c r="AW157" s="84">
        <v>15.604850769042971</v>
      </c>
      <c r="AX157" s="84">
        <v>11.288210868835449</v>
      </c>
      <c r="AY157" s="84">
        <v>11.346147537231451</v>
      </c>
      <c r="AZ157" s="84">
        <v>12.099941253662109</v>
      </c>
      <c r="BA157" s="85"/>
      <c r="BB157" s="83" t="s">
        <v>27</v>
      </c>
      <c r="BC157" s="83">
        <v>3.3</v>
      </c>
    </row>
    <row r="158" spans="1:55">
      <c r="A158" s="83" t="s">
        <v>214</v>
      </c>
      <c r="B158" s="83">
        <v>131</v>
      </c>
      <c r="C158" s="83" t="s">
        <v>594</v>
      </c>
      <c r="D158" s="83" t="s">
        <v>595</v>
      </c>
      <c r="E158" s="83" t="s">
        <v>596</v>
      </c>
      <c r="F158" s="83"/>
      <c r="G158" s="83"/>
      <c r="H158" s="83" t="s">
        <v>597</v>
      </c>
      <c r="I158" s="83" t="s">
        <v>27</v>
      </c>
      <c r="J158" s="83">
        <v>73</v>
      </c>
      <c r="K158" s="83" t="s">
        <v>22</v>
      </c>
      <c r="L158" s="83" t="s">
        <v>598</v>
      </c>
      <c r="M158" s="83"/>
      <c r="N158" s="83"/>
      <c r="O158" s="99">
        <f t="shared" si="2"/>
        <v>49.5</v>
      </c>
      <c r="Q158" s="83">
        <v>28.65</v>
      </c>
      <c r="R158" s="83">
        <v>1.33</v>
      </c>
      <c r="S158" s="83">
        <v>0.43</v>
      </c>
      <c r="T158" s="83">
        <v>30</v>
      </c>
      <c r="U158" s="83">
        <v>859.4</v>
      </c>
      <c r="V158" s="83"/>
      <c r="W158" s="84">
        <v>28.217110633850101</v>
      </c>
      <c r="X158" s="84">
        <v>25.15977573394775</v>
      </c>
      <c r="Y158" s="84"/>
      <c r="Z158" s="84"/>
      <c r="AA158" s="84">
        <v>26.020964622497559</v>
      </c>
      <c r="AB158" s="84">
        <v>25.262591361999512</v>
      </c>
      <c r="AC158" s="84">
        <v>27.120444297790531</v>
      </c>
      <c r="AD158" s="84">
        <v>24.771608352661129</v>
      </c>
      <c r="AE158" s="84">
        <v>25.56925106048584</v>
      </c>
      <c r="AF158" s="84">
        <v>24.95682525634766</v>
      </c>
      <c r="AG158" s="84">
        <v>38.653678894042969</v>
      </c>
      <c r="AH158" s="84">
        <v>26.933741569519039</v>
      </c>
      <c r="AI158" s="84">
        <v>38.377803802490227</v>
      </c>
      <c r="AJ158" s="84">
        <v>25.303689956665039</v>
      </c>
      <c r="AK158" s="84">
        <v>33.733680725097663</v>
      </c>
      <c r="AL158" s="84">
        <v>25.19571685791016</v>
      </c>
      <c r="AM158" s="84">
        <v>33.394832611083977</v>
      </c>
      <c r="AN158" s="84">
        <v>25.49499607086182</v>
      </c>
      <c r="AO158" s="84">
        <v>36.462123870849609</v>
      </c>
      <c r="AP158" s="84">
        <v>25.317648887634281</v>
      </c>
      <c r="AQ158" s="85"/>
      <c r="AR158" s="84">
        <v>3.0573348999023442</v>
      </c>
      <c r="AS158" s="84">
        <v>0.75837326049804688</v>
      </c>
      <c r="AT158" s="84">
        <v>2.348835945129395</v>
      </c>
      <c r="AU158" s="84">
        <v>0.61242580413818359</v>
      </c>
      <c r="AV158" s="84">
        <v>11.719937324523929</v>
      </c>
      <c r="AW158" s="84">
        <v>13.074113845825201</v>
      </c>
      <c r="AX158" s="84">
        <v>8.5379638671875</v>
      </c>
      <c r="AY158" s="84">
        <v>7.899836540222168</v>
      </c>
      <c r="AZ158" s="84">
        <v>11.14447498321533</v>
      </c>
      <c r="BA158" s="85"/>
      <c r="BB158" s="83" t="s">
        <v>27</v>
      </c>
      <c r="BC158" s="83">
        <v>49.5</v>
      </c>
    </row>
    <row r="159" spans="1:55">
      <c r="A159" s="83" t="s">
        <v>214</v>
      </c>
      <c r="B159" s="83">
        <v>132</v>
      </c>
      <c r="C159" s="83" t="s">
        <v>599</v>
      </c>
      <c r="D159" s="83" t="s">
        <v>595</v>
      </c>
      <c r="E159" s="83" t="s">
        <v>596</v>
      </c>
      <c r="F159" s="83"/>
      <c r="G159" s="83"/>
      <c r="H159" s="83" t="s">
        <v>600</v>
      </c>
      <c r="I159" s="83" t="s">
        <v>27</v>
      </c>
      <c r="J159" s="83">
        <v>73</v>
      </c>
      <c r="K159" s="83" t="s">
        <v>22</v>
      </c>
      <c r="L159" s="83" t="s">
        <v>598</v>
      </c>
      <c r="M159" s="83"/>
      <c r="N159" s="83"/>
      <c r="O159" s="99">
        <f t="shared" si="2"/>
        <v>56.6</v>
      </c>
      <c r="Q159" s="83">
        <v>19.04</v>
      </c>
      <c r="R159" s="83">
        <v>1.29</v>
      </c>
      <c r="S159" s="83">
        <v>0.39</v>
      </c>
      <c r="T159" s="83">
        <v>30</v>
      </c>
      <c r="U159" s="83">
        <v>571.29999999999995</v>
      </c>
      <c r="V159" s="83"/>
      <c r="W159" s="84">
        <v>28.80544376373291</v>
      </c>
      <c r="X159" s="84">
        <v>25.165372848510739</v>
      </c>
      <c r="Y159" s="84"/>
      <c r="Z159" s="84"/>
      <c r="AA159" s="84">
        <v>25.202524185180661</v>
      </c>
      <c r="AB159" s="84">
        <v>25.13870906829834</v>
      </c>
      <c r="AC159" s="84">
        <v>27.108829498291019</v>
      </c>
      <c r="AD159" s="84">
        <v>24.802726745605469</v>
      </c>
      <c r="AE159" s="84">
        <v>25.754884719848629</v>
      </c>
      <c r="AF159" s="84">
        <v>24.991240501403809</v>
      </c>
      <c r="AG159" s="84">
        <v>40</v>
      </c>
      <c r="AH159" s="84">
        <v>27.03526401519775</v>
      </c>
      <c r="AI159" s="84">
        <v>38.655994415283203</v>
      </c>
      <c r="AJ159" s="84">
        <v>25.23201751708984</v>
      </c>
      <c r="AK159" s="84">
        <v>33.408475875854492</v>
      </c>
      <c r="AL159" s="84">
        <v>25.26632022857666</v>
      </c>
      <c r="AM159" s="84">
        <v>34.074394226074219</v>
      </c>
      <c r="AN159" s="84">
        <v>25.406368255615231</v>
      </c>
      <c r="AO159" s="84">
        <v>37.419639587402337</v>
      </c>
      <c r="AP159" s="84">
        <v>25.389430999755859</v>
      </c>
      <c r="AQ159" s="85"/>
      <c r="AR159" s="84">
        <v>3.640070915222168</v>
      </c>
      <c r="AS159" s="84">
        <v>6.3815116882324219E-2</v>
      </c>
      <c r="AT159" s="84">
        <v>2.3061027526855469</v>
      </c>
      <c r="AU159" s="84">
        <v>0.76364421844482422</v>
      </c>
      <c r="AV159" s="84">
        <v>12.96473598480225</v>
      </c>
      <c r="AW159" s="84">
        <v>13.423976898193359</v>
      </c>
      <c r="AX159" s="84">
        <v>8.142155647277832</v>
      </c>
      <c r="AY159" s="84">
        <v>8.6680259704589844</v>
      </c>
      <c r="AZ159" s="84">
        <v>12.030208587646481</v>
      </c>
      <c r="BA159" s="85"/>
      <c r="BB159" s="83" t="s">
        <v>27</v>
      </c>
      <c r="BC159" s="83">
        <v>56.6</v>
      </c>
    </row>
    <row r="160" spans="1:55">
      <c r="A160" s="83" t="s">
        <v>214</v>
      </c>
      <c r="B160" s="83">
        <v>133</v>
      </c>
      <c r="C160" s="83" t="s">
        <v>601</v>
      </c>
      <c r="D160" s="83" t="s">
        <v>602</v>
      </c>
      <c r="E160" s="83" t="s">
        <v>603</v>
      </c>
      <c r="F160" s="83"/>
      <c r="G160" s="83"/>
      <c r="H160" s="83" t="s">
        <v>604</v>
      </c>
      <c r="I160" s="83" t="s">
        <v>27</v>
      </c>
      <c r="J160" s="83">
        <v>66</v>
      </c>
      <c r="K160" s="83" t="s">
        <v>22</v>
      </c>
      <c r="L160" s="83" t="s">
        <v>605</v>
      </c>
      <c r="M160" s="83"/>
      <c r="N160" s="83"/>
      <c r="O160" s="99">
        <f t="shared" si="2"/>
        <v>29.6</v>
      </c>
      <c r="Q160" s="83">
        <v>29.04</v>
      </c>
      <c r="R160" s="83">
        <v>1.36</v>
      </c>
      <c r="S160" s="83">
        <v>0.42</v>
      </c>
      <c r="T160" s="83">
        <v>30</v>
      </c>
      <c r="U160" s="83">
        <v>871.3</v>
      </c>
      <c r="V160" s="83"/>
      <c r="W160" s="84">
        <v>27.060273170471191</v>
      </c>
      <c r="X160" s="84">
        <v>25.607148170471191</v>
      </c>
      <c r="Y160" s="84"/>
      <c r="Z160" s="84"/>
      <c r="AA160" s="84">
        <v>26.19152736663818</v>
      </c>
      <c r="AB160" s="84">
        <v>25.665995597839359</v>
      </c>
      <c r="AC160" s="84">
        <v>26.241135597229</v>
      </c>
      <c r="AD160" s="84">
        <v>24.875649452209469</v>
      </c>
      <c r="AE160" s="84">
        <v>25.706271171569821</v>
      </c>
      <c r="AF160" s="84">
        <v>25.347978591918949</v>
      </c>
      <c r="AG160" s="84">
        <v>40</v>
      </c>
      <c r="AH160" s="84">
        <v>27.296962738037109</v>
      </c>
      <c r="AI160" s="84">
        <v>36.314193725585938</v>
      </c>
      <c r="AJ160" s="84">
        <v>25.80249118804932</v>
      </c>
      <c r="AK160" s="84">
        <v>34.580934524536133</v>
      </c>
      <c r="AL160" s="84">
        <v>25.7330436706543</v>
      </c>
      <c r="AM160" s="84">
        <v>33.397859573364258</v>
      </c>
      <c r="AN160" s="84">
        <v>25.854182243347172</v>
      </c>
      <c r="AO160" s="84">
        <v>35.411907196044922</v>
      </c>
      <c r="AP160" s="84">
        <v>25.66313648223877</v>
      </c>
      <c r="AQ160" s="85"/>
      <c r="AR160" s="84">
        <v>1.453125</v>
      </c>
      <c r="AS160" s="84">
        <v>0.52553176879882812</v>
      </c>
      <c r="AT160" s="84">
        <v>1.365486145019531</v>
      </c>
      <c r="AU160" s="84">
        <v>0.35829257965087891</v>
      </c>
      <c r="AV160" s="84">
        <v>12.703037261962891</v>
      </c>
      <c r="AW160" s="84">
        <v>10.511702537536619</v>
      </c>
      <c r="AX160" s="84">
        <v>8.8478908538818359</v>
      </c>
      <c r="AY160" s="84">
        <v>7.5436773300170898</v>
      </c>
      <c r="AZ160" s="84">
        <v>9.7487707138061523</v>
      </c>
      <c r="BA160" s="85"/>
      <c r="BB160" s="83" t="s">
        <v>27</v>
      </c>
      <c r="BC160" s="83">
        <v>29.6</v>
      </c>
    </row>
    <row r="161" spans="1:55">
      <c r="A161" s="83" t="s">
        <v>214</v>
      </c>
      <c r="B161" s="83">
        <v>134</v>
      </c>
      <c r="C161" s="83" t="s">
        <v>606</v>
      </c>
      <c r="D161" s="83" t="s">
        <v>602</v>
      </c>
      <c r="E161" s="83" t="s">
        <v>603</v>
      </c>
      <c r="F161" s="83"/>
      <c r="G161" s="83"/>
      <c r="H161" s="83" t="s">
        <v>607</v>
      </c>
      <c r="I161" s="83" t="s">
        <v>27</v>
      </c>
      <c r="J161" s="83">
        <v>66</v>
      </c>
      <c r="K161" s="83" t="s">
        <v>22</v>
      </c>
      <c r="L161" s="83" t="s">
        <v>605</v>
      </c>
      <c r="M161" s="83"/>
      <c r="N161" s="83"/>
      <c r="O161" s="99">
        <f t="shared" si="2"/>
        <v>17.7</v>
      </c>
      <c r="Q161" s="83">
        <v>22.86</v>
      </c>
      <c r="R161" s="83">
        <v>1.3</v>
      </c>
      <c r="S161" s="83">
        <v>0.39</v>
      </c>
      <c r="T161" s="83">
        <v>30</v>
      </c>
      <c r="U161" s="83">
        <v>685.7</v>
      </c>
      <c r="V161" s="83"/>
      <c r="W161" s="84">
        <v>27.05721378326416</v>
      </c>
      <c r="X161" s="84">
        <v>24.499608039855961</v>
      </c>
      <c r="Y161" s="84"/>
      <c r="Z161" s="84"/>
      <c r="AA161" s="84">
        <v>25.426690101623539</v>
      </c>
      <c r="AB161" s="84">
        <v>24.57568359375</v>
      </c>
      <c r="AC161" s="84">
        <v>25.735261917114261</v>
      </c>
      <c r="AD161" s="84">
        <v>23.93467807769775</v>
      </c>
      <c r="AE161" s="84">
        <v>25.73466873168945</v>
      </c>
      <c r="AF161" s="84">
        <v>24.44382381439209</v>
      </c>
      <c r="AG161" s="84">
        <v>40</v>
      </c>
      <c r="AH161" s="84">
        <v>26.085307121276859</v>
      </c>
      <c r="AI161" s="84">
        <v>37.546150207519531</v>
      </c>
      <c r="AJ161" s="84">
        <v>24.639548301696781</v>
      </c>
      <c r="AK161" s="84">
        <v>34.383829116821289</v>
      </c>
      <c r="AL161" s="84">
        <v>24.62523174285889</v>
      </c>
      <c r="AM161" s="84">
        <v>32.826231002807617</v>
      </c>
      <c r="AN161" s="84">
        <v>24.68629169464111</v>
      </c>
      <c r="AO161" s="84">
        <v>35.814350128173828</v>
      </c>
      <c r="AP161" s="84">
        <v>24.549422264099121</v>
      </c>
      <c r="AQ161" s="85"/>
      <c r="AR161" s="84">
        <v>2.5576057434082031</v>
      </c>
      <c r="AS161" s="84">
        <v>0.85100650787353516</v>
      </c>
      <c r="AT161" s="84">
        <v>1.8005838394165039</v>
      </c>
      <c r="AU161" s="84">
        <v>1.2908449172973631</v>
      </c>
      <c r="AV161" s="84">
        <v>13.914692878723139</v>
      </c>
      <c r="AW161" s="84">
        <v>12.90660190582275</v>
      </c>
      <c r="AX161" s="84">
        <v>9.7585973739624023</v>
      </c>
      <c r="AY161" s="84">
        <v>8.1399393081665039</v>
      </c>
      <c r="AZ161" s="84">
        <v>11.264927864074711</v>
      </c>
      <c r="BA161" s="85"/>
      <c r="BB161" s="83" t="s">
        <v>27</v>
      </c>
      <c r="BC161" s="83">
        <v>17.7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41331-88C0-B341-BFD0-9299209B362F}">
  <dimension ref="A1:AG115"/>
  <sheetViews>
    <sheetView tabSelected="1" topLeftCell="N1" zoomScale="106" zoomScaleNormal="106" workbookViewId="0">
      <selection sqref="A1:XFD1048576"/>
    </sheetView>
  </sheetViews>
  <sheetFormatPr baseColWidth="10" defaultColWidth="7.5703125" defaultRowHeight="15"/>
  <cols>
    <col min="1" max="1" width="6.140625" style="10" bestFit="1" customWidth="1"/>
    <col min="2" max="2" width="3.42578125" style="10" bestFit="1" customWidth="1"/>
    <col min="3" max="3" width="3.140625" style="10" bestFit="1" customWidth="1"/>
    <col min="4" max="21" width="6.140625" style="10" customWidth="1"/>
    <col min="22" max="22" width="9" style="10" customWidth="1"/>
    <col min="23" max="23" width="6.140625" style="57" bestFit="1" customWidth="1"/>
    <col min="24" max="32" width="8.28515625" style="57" customWidth="1"/>
    <col min="33" max="33" width="8.7109375" style="57" customWidth="1"/>
    <col min="34" max="16384" width="7.5703125" style="10"/>
  </cols>
  <sheetData>
    <row r="1" spans="1:33" s="7" customFormat="1" ht="50.5" customHeight="1" thickBo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5" t="s">
        <v>5</v>
      </c>
      <c r="G1" s="4" t="s">
        <v>4</v>
      </c>
      <c r="H1" s="5" t="s">
        <v>6</v>
      </c>
      <c r="I1" s="4" t="s">
        <v>4</v>
      </c>
      <c r="J1" s="5" t="s">
        <v>7</v>
      </c>
      <c r="K1" s="3" t="s">
        <v>4</v>
      </c>
      <c r="L1" s="6" t="s">
        <v>8</v>
      </c>
      <c r="M1" s="4" t="s">
        <v>4</v>
      </c>
      <c r="N1" s="5" t="s">
        <v>9</v>
      </c>
      <c r="O1" s="4" t="s">
        <v>4</v>
      </c>
      <c r="P1" s="5" t="s">
        <v>10</v>
      </c>
      <c r="Q1" s="4" t="s">
        <v>4</v>
      </c>
      <c r="R1" s="5" t="s">
        <v>11</v>
      </c>
      <c r="S1" s="4" t="s">
        <v>4</v>
      </c>
      <c r="T1" s="5" t="s">
        <v>12</v>
      </c>
      <c r="U1" s="3" t="s">
        <v>4</v>
      </c>
      <c r="V1" s="10"/>
      <c r="W1" s="54" t="s">
        <v>0</v>
      </c>
      <c r="X1" s="58" t="s">
        <v>34</v>
      </c>
      <c r="Y1" s="58" t="s">
        <v>35</v>
      </c>
      <c r="Z1" s="58" t="s">
        <v>36</v>
      </c>
      <c r="AA1" s="58" t="s">
        <v>37</v>
      </c>
      <c r="AB1" s="58" t="s">
        <v>38</v>
      </c>
      <c r="AC1" s="58" t="s">
        <v>39</v>
      </c>
      <c r="AD1" s="58" t="s">
        <v>40</v>
      </c>
      <c r="AE1" s="58" t="s">
        <v>41</v>
      </c>
      <c r="AF1" s="58" t="s">
        <v>42</v>
      </c>
      <c r="AG1" s="59" t="s">
        <v>45</v>
      </c>
    </row>
    <row r="2" spans="1:33" s="13" customFormat="1" ht="17">
      <c r="A2" s="8" t="s">
        <v>13</v>
      </c>
      <c r="B2" s="8">
        <v>57</v>
      </c>
      <c r="C2" s="8" t="s">
        <v>14</v>
      </c>
      <c r="D2" s="9">
        <v>26.25</v>
      </c>
      <c r="E2" s="9">
        <v>25.29</v>
      </c>
      <c r="F2" s="9">
        <v>25.55</v>
      </c>
      <c r="G2" s="9">
        <v>25.33</v>
      </c>
      <c r="H2" s="9">
        <v>29.66</v>
      </c>
      <c r="I2" s="9">
        <v>25.26</v>
      </c>
      <c r="J2" s="9">
        <v>24.4</v>
      </c>
      <c r="K2" s="9">
        <v>25.08</v>
      </c>
      <c r="L2" s="9">
        <v>40</v>
      </c>
      <c r="M2" s="9">
        <v>26.81</v>
      </c>
      <c r="N2" s="9">
        <v>33.35</v>
      </c>
      <c r="O2" s="9">
        <v>26.77</v>
      </c>
      <c r="P2" s="9">
        <v>40</v>
      </c>
      <c r="Q2" s="9">
        <v>26.9</v>
      </c>
      <c r="R2" s="9">
        <v>33.090000000000003</v>
      </c>
      <c r="S2" s="9">
        <v>27.02</v>
      </c>
      <c r="T2" s="9">
        <v>38.57</v>
      </c>
      <c r="U2" s="9">
        <v>26.81</v>
      </c>
      <c r="V2" s="10"/>
      <c r="W2" s="55" t="s">
        <v>13</v>
      </c>
      <c r="X2" s="60">
        <v>0.96000000000000085</v>
      </c>
      <c r="Y2" s="60">
        <v>0.22000000000000242</v>
      </c>
      <c r="Z2" s="60">
        <v>4.3999999999999986</v>
      </c>
      <c r="AA2" s="60">
        <v>-0.67999999999999972</v>
      </c>
      <c r="AB2" s="60">
        <v>13.190000000000001</v>
      </c>
      <c r="AC2" s="60">
        <v>6.5800000000000018</v>
      </c>
      <c r="AD2" s="60">
        <v>13.100000000000001</v>
      </c>
      <c r="AE2" s="60">
        <v>6.0700000000000038</v>
      </c>
      <c r="AF2" s="60">
        <v>11.760000000000002</v>
      </c>
      <c r="AG2" s="61">
        <v>1.6</v>
      </c>
    </row>
    <row r="3" spans="1:33" s="13" customFormat="1" ht="17">
      <c r="A3" s="8" t="s">
        <v>13</v>
      </c>
      <c r="B3" s="8">
        <v>66</v>
      </c>
      <c r="C3" s="8" t="s">
        <v>15</v>
      </c>
      <c r="D3" s="9">
        <v>26.83</v>
      </c>
      <c r="E3" s="9">
        <v>24.91</v>
      </c>
      <c r="F3" s="9">
        <v>26.13</v>
      </c>
      <c r="G3" s="9">
        <v>24.74</v>
      </c>
      <c r="H3" s="9">
        <v>30.19</v>
      </c>
      <c r="I3" s="9">
        <v>24.62</v>
      </c>
      <c r="J3" s="9">
        <v>24.26</v>
      </c>
      <c r="K3" s="9">
        <v>24.32</v>
      </c>
      <c r="L3" s="9">
        <v>40</v>
      </c>
      <c r="M3" s="9">
        <v>26.4</v>
      </c>
      <c r="N3" s="9">
        <v>34.159999999999997</v>
      </c>
      <c r="O3" s="9">
        <v>26.32</v>
      </c>
      <c r="P3" s="9">
        <v>39.53</v>
      </c>
      <c r="Q3" s="9">
        <v>26.37</v>
      </c>
      <c r="R3" s="9">
        <v>33.950000000000003</v>
      </c>
      <c r="S3" s="9">
        <v>26.4</v>
      </c>
      <c r="T3" s="9">
        <v>39.07</v>
      </c>
      <c r="U3" s="9">
        <v>26.28</v>
      </c>
      <c r="V3" s="10"/>
      <c r="W3" s="55" t="s">
        <v>13</v>
      </c>
      <c r="X3" s="60">
        <v>1.9199999999999982</v>
      </c>
      <c r="Y3" s="60">
        <v>1.3900000000000006</v>
      </c>
      <c r="Z3" s="60">
        <v>5.57</v>
      </c>
      <c r="AA3" s="60">
        <v>-5.9999999999998721E-2</v>
      </c>
      <c r="AB3" s="60">
        <v>13.600000000000001</v>
      </c>
      <c r="AC3" s="60">
        <v>7.8399999999999963</v>
      </c>
      <c r="AD3" s="60">
        <v>13.16</v>
      </c>
      <c r="AE3" s="60">
        <v>7.5500000000000043</v>
      </c>
      <c r="AF3" s="60">
        <v>12.79</v>
      </c>
      <c r="AG3" s="61">
        <v>1</v>
      </c>
    </row>
    <row r="4" spans="1:33" s="13" customFormat="1" ht="17">
      <c r="A4" s="8" t="s">
        <v>13</v>
      </c>
      <c r="B4" s="8">
        <v>62</v>
      </c>
      <c r="C4" s="8" t="s">
        <v>15</v>
      </c>
      <c r="D4" s="9">
        <v>27.6</v>
      </c>
      <c r="E4" s="9">
        <v>25.31</v>
      </c>
      <c r="F4" s="9">
        <v>26.83</v>
      </c>
      <c r="G4" s="9">
        <v>25.21</v>
      </c>
      <c r="H4" s="9">
        <v>28.7</v>
      </c>
      <c r="I4" s="9">
        <v>24.8</v>
      </c>
      <c r="J4" s="9">
        <v>24.4</v>
      </c>
      <c r="K4" s="9">
        <v>24.7</v>
      </c>
      <c r="L4" s="9">
        <v>40</v>
      </c>
      <c r="M4" s="9">
        <v>26.8</v>
      </c>
      <c r="N4" s="9">
        <v>34.24</v>
      </c>
      <c r="O4" s="9">
        <v>26.71</v>
      </c>
      <c r="P4" s="9">
        <v>40</v>
      </c>
      <c r="Q4" s="9">
        <v>26.78</v>
      </c>
      <c r="R4" s="9">
        <v>34.020000000000003</v>
      </c>
      <c r="S4" s="9">
        <v>26.88</v>
      </c>
      <c r="T4" s="9">
        <v>40</v>
      </c>
      <c r="U4" s="9">
        <v>26.58</v>
      </c>
      <c r="V4" s="10"/>
      <c r="W4" s="55" t="s">
        <v>13</v>
      </c>
      <c r="X4" s="60">
        <v>2.2900000000000027</v>
      </c>
      <c r="Y4" s="60">
        <v>1.6199999999999974</v>
      </c>
      <c r="Z4" s="60">
        <v>3.8999999999999986</v>
      </c>
      <c r="AA4" s="60">
        <v>-0.30000000000000071</v>
      </c>
      <c r="AB4" s="60">
        <v>13.2</v>
      </c>
      <c r="AC4" s="60">
        <v>7.5300000000000011</v>
      </c>
      <c r="AD4" s="60">
        <v>13.219999999999999</v>
      </c>
      <c r="AE4" s="60">
        <v>7.1400000000000041</v>
      </c>
      <c r="AF4" s="60">
        <v>13.420000000000002</v>
      </c>
      <c r="AG4" s="61">
        <v>1.2</v>
      </c>
    </row>
    <row r="5" spans="1:33" s="13" customFormat="1" ht="17">
      <c r="A5" s="8" t="s">
        <v>13</v>
      </c>
      <c r="B5" s="8">
        <v>65</v>
      </c>
      <c r="C5" s="8" t="s">
        <v>14</v>
      </c>
      <c r="D5" s="9">
        <v>26.93</v>
      </c>
      <c r="E5" s="9">
        <v>24.84</v>
      </c>
      <c r="F5" s="9">
        <v>26.47</v>
      </c>
      <c r="G5" s="9">
        <v>24.79</v>
      </c>
      <c r="H5" s="9">
        <v>32.619999999999997</v>
      </c>
      <c r="I5" s="9">
        <v>24.71</v>
      </c>
      <c r="J5" s="9">
        <v>25.37</v>
      </c>
      <c r="K5" s="9">
        <v>24.47</v>
      </c>
      <c r="L5" s="9">
        <v>40</v>
      </c>
      <c r="M5" s="9">
        <v>26.32</v>
      </c>
      <c r="N5" s="9">
        <v>34.28</v>
      </c>
      <c r="O5" s="9">
        <v>26.34</v>
      </c>
      <c r="P5" s="9">
        <v>40</v>
      </c>
      <c r="Q5" s="9">
        <v>26.11</v>
      </c>
      <c r="R5" s="9">
        <v>34.47</v>
      </c>
      <c r="S5" s="9">
        <v>26.43</v>
      </c>
      <c r="T5" s="9">
        <v>39.75</v>
      </c>
      <c r="U5" s="9">
        <v>26.05</v>
      </c>
      <c r="V5" s="10"/>
      <c r="W5" s="55" t="s">
        <v>13</v>
      </c>
      <c r="X5" s="60">
        <v>2.09</v>
      </c>
      <c r="Y5" s="60">
        <v>1.6799999999999997</v>
      </c>
      <c r="Z5" s="60">
        <v>7.9099999999999966</v>
      </c>
      <c r="AA5" s="60">
        <v>0.90000000000000213</v>
      </c>
      <c r="AB5" s="60">
        <v>13.68</v>
      </c>
      <c r="AC5" s="60">
        <v>7.9400000000000013</v>
      </c>
      <c r="AD5" s="60">
        <v>13.89</v>
      </c>
      <c r="AE5" s="60">
        <v>8.0399999999999991</v>
      </c>
      <c r="AF5" s="60">
        <v>13.7</v>
      </c>
      <c r="AG5" s="61">
        <v>0.7</v>
      </c>
    </row>
    <row r="6" spans="1:33" s="13" customFormat="1" ht="17">
      <c r="A6" s="8" t="s">
        <v>13</v>
      </c>
      <c r="B6" s="8">
        <v>57</v>
      </c>
      <c r="C6" s="8" t="s">
        <v>14</v>
      </c>
      <c r="D6" s="9">
        <v>28.31</v>
      </c>
      <c r="E6" s="9">
        <v>25.05</v>
      </c>
      <c r="F6" s="9">
        <v>27.33</v>
      </c>
      <c r="G6" s="9">
        <v>24.89</v>
      </c>
      <c r="H6" s="9">
        <v>30.84</v>
      </c>
      <c r="I6" s="9">
        <v>24.95</v>
      </c>
      <c r="J6" s="9">
        <v>25.23</v>
      </c>
      <c r="K6" s="9">
        <v>24.86</v>
      </c>
      <c r="L6" s="9">
        <v>40</v>
      </c>
      <c r="M6" s="9">
        <v>26.61</v>
      </c>
      <c r="N6" s="9">
        <v>37.07</v>
      </c>
      <c r="O6" s="9">
        <v>26.84</v>
      </c>
      <c r="P6" s="9">
        <v>39.369999999999997</v>
      </c>
      <c r="Q6" s="9">
        <v>26.61</v>
      </c>
      <c r="R6" s="9">
        <v>34.82</v>
      </c>
      <c r="S6" s="9">
        <v>33.25</v>
      </c>
      <c r="T6" s="9">
        <v>40</v>
      </c>
      <c r="U6" s="9">
        <v>26.66</v>
      </c>
      <c r="V6" s="10"/>
      <c r="W6" s="55" t="s">
        <v>13</v>
      </c>
      <c r="X6" s="60">
        <v>3.259999999999998</v>
      </c>
      <c r="Y6" s="60">
        <v>2.4399999999999977</v>
      </c>
      <c r="Z6" s="60">
        <v>5.8900000000000006</v>
      </c>
      <c r="AA6" s="60">
        <v>0.37000000000000099</v>
      </c>
      <c r="AB6" s="60">
        <v>13.39</v>
      </c>
      <c r="AC6" s="60">
        <v>10.23</v>
      </c>
      <c r="AD6" s="60">
        <v>12.759999999999998</v>
      </c>
      <c r="AE6" s="60">
        <v>1.5700000000000003</v>
      </c>
      <c r="AF6" s="60">
        <v>13.34</v>
      </c>
      <c r="AG6" s="61">
        <v>1.5</v>
      </c>
    </row>
    <row r="7" spans="1:33" s="13" customFormat="1" ht="17">
      <c r="A7" s="8" t="s">
        <v>13</v>
      </c>
      <c r="B7" s="8">
        <v>67</v>
      </c>
      <c r="C7" s="8" t="s">
        <v>14</v>
      </c>
      <c r="D7" s="9">
        <v>29.11</v>
      </c>
      <c r="E7" s="9">
        <v>26.3</v>
      </c>
      <c r="F7" s="9">
        <v>28.55</v>
      </c>
      <c r="G7" s="9">
        <v>26.32</v>
      </c>
      <c r="H7" s="9">
        <v>28.72</v>
      </c>
      <c r="I7" s="9">
        <v>26.02</v>
      </c>
      <c r="J7" s="9">
        <v>24.35</v>
      </c>
      <c r="K7" s="9">
        <v>26.04</v>
      </c>
      <c r="L7" s="9">
        <v>40</v>
      </c>
      <c r="M7" s="9">
        <v>27.94</v>
      </c>
      <c r="N7" s="9">
        <v>38.409999999999997</v>
      </c>
      <c r="O7" s="9">
        <v>28.05</v>
      </c>
      <c r="P7" s="9">
        <v>40</v>
      </c>
      <c r="Q7" s="9">
        <v>27.87</v>
      </c>
      <c r="R7" s="9">
        <v>36.43</v>
      </c>
      <c r="S7" s="9">
        <v>27.88</v>
      </c>
      <c r="T7" s="9">
        <v>40</v>
      </c>
      <c r="U7" s="9">
        <v>27.92</v>
      </c>
      <c r="V7" s="10"/>
      <c r="W7" s="55" t="s">
        <v>13</v>
      </c>
      <c r="X7" s="60">
        <v>2.8099999999999987</v>
      </c>
      <c r="Y7" s="60">
        <v>2.2300000000000004</v>
      </c>
      <c r="Z7" s="60">
        <v>2.6999999999999993</v>
      </c>
      <c r="AA7" s="60">
        <v>-1.6899999999999977</v>
      </c>
      <c r="AB7" s="60">
        <v>12.059999999999999</v>
      </c>
      <c r="AC7" s="60">
        <v>10.359999999999996</v>
      </c>
      <c r="AD7" s="60">
        <v>12.129999999999999</v>
      </c>
      <c r="AE7" s="60">
        <v>8.5500000000000007</v>
      </c>
      <c r="AF7" s="60">
        <v>12.079999999999998</v>
      </c>
      <c r="AG7" s="61">
        <v>2.2999999999999998</v>
      </c>
    </row>
    <row r="8" spans="1:33" s="33" customFormat="1" ht="17">
      <c r="A8" s="31" t="s">
        <v>13</v>
      </c>
      <c r="B8" s="31">
        <v>56</v>
      </c>
      <c r="C8" s="31" t="s">
        <v>14</v>
      </c>
      <c r="D8" s="32">
        <v>25.74</v>
      </c>
      <c r="E8" s="32">
        <v>25.8</v>
      </c>
      <c r="F8" s="32">
        <v>25.22</v>
      </c>
      <c r="G8" s="32">
        <v>25.96</v>
      </c>
      <c r="H8" s="32">
        <v>25.9</v>
      </c>
      <c r="I8" s="32">
        <v>25.21</v>
      </c>
      <c r="J8" s="32">
        <v>23.96</v>
      </c>
      <c r="K8" s="32">
        <v>25.57</v>
      </c>
      <c r="L8" s="32">
        <v>37.78</v>
      </c>
      <c r="M8" s="32">
        <v>27.21</v>
      </c>
      <c r="N8" s="32">
        <v>31.11</v>
      </c>
      <c r="O8" s="32">
        <v>24.93</v>
      </c>
      <c r="P8" s="32">
        <v>32.21</v>
      </c>
      <c r="Q8" s="32">
        <v>24.86</v>
      </c>
      <c r="R8" s="32">
        <v>30.47</v>
      </c>
      <c r="S8" s="32">
        <v>24.99</v>
      </c>
      <c r="T8" s="32">
        <v>33.64</v>
      </c>
      <c r="U8" s="32">
        <v>24.89</v>
      </c>
      <c r="W8" s="56" t="s">
        <v>13</v>
      </c>
      <c r="X8" s="62">
        <v>-6.0000000000002274E-2</v>
      </c>
      <c r="Y8" s="62">
        <v>-0.74000000000000199</v>
      </c>
      <c r="Z8" s="62">
        <v>0.68999999999999773</v>
      </c>
      <c r="AA8" s="62">
        <v>-1.6099999999999994</v>
      </c>
      <c r="AB8" s="62">
        <v>10.57</v>
      </c>
      <c r="AC8" s="62">
        <v>6.18</v>
      </c>
      <c r="AD8" s="62">
        <v>7.3500000000000014</v>
      </c>
      <c r="AE8" s="62">
        <v>5.48</v>
      </c>
      <c r="AF8" s="62">
        <v>8.75</v>
      </c>
      <c r="AG8" s="63">
        <v>68.2</v>
      </c>
    </row>
    <row r="9" spans="1:33" s="13" customFormat="1" ht="17">
      <c r="A9" s="8" t="s">
        <v>13</v>
      </c>
      <c r="B9" s="8">
        <v>74</v>
      </c>
      <c r="C9" s="8" t="s">
        <v>14</v>
      </c>
      <c r="D9" s="9">
        <v>28.67</v>
      </c>
      <c r="E9" s="9">
        <v>26.85</v>
      </c>
      <c r="F9" s="9">
        <v>27.64</v>
      </c>
      <c r="G9" s="9">
        <v>26.95</v>
      </c>
      <c r="H9" s="9">
        <v>27.9</v>
      </c>
      <c r="I9" s="9">
        <v>26.43</v>
      </c>
      <c r="J9" s="9">
        <v>25.3</v>
      </c>
      <c r="K9" s="9">
        <v>26.58</v>
      </c>
      <c r="L9" s="9">
        <v>40</v>
      </c>
      <c r="M9" s="9">
        <v>28.65</v>
      </c>
      <c r="N9" s="9">
        <v>35.15</v>
      </c>
      <c r="O9" s="9">
        <v>26.15</v>
      </c>
      <c r="P9" s="9">
        <v>36.04</v>
      </c>
      <c r="Q9" s="9">
        <v>26.04</v>
      </c>
      <c r="R9" s="9">
        <v>33.14</v>
      </c>
      <c r="S9" s="9">
        <v>26.07</v>
      </c>
      <c r="T9" s="9">
        <v>37.6</v>
      </c>
      <c r="U9" s="9">
        <v>26.05</v>
      </c>
      <c r="V9" s="10"/>
      <c r="W9" s="55" t="s">
        <v>13</v>
      </c>
      <c r="X9" s="60">
        <v>1.8200000000000003</v>
      </c>
      <c r="Y9" s="60">
        <v>0.69000000000000128</v>
      </c>
      <c r="Z9" s="60">
        <v>1.4699999999999989</v>
      </c>
      <c r="AA9" s="60">
        <v>-1.2799999999999976</v>
      </c>
      <c r="AB9" s="60">
        <v>11.350000000000001</v>
      </c>
      <c r="AC9" s="60">
        <v>9</v>
      </c>
      <c r="AD9" s="60">
        <v>10</v>
      </c>
      <c r="AE9" s="60">
        <v>7.07</v>
      </c>
      <c r="AF9" s="60">
        <v>11.55</v>
      </c>
      <c r="AG9" s="61">
        <v>20.6</v>
      </c>
    </row>
    <row r="10" spans="1:33" s="13" customFormat="1" ht="17">
      <c r="A10" s="8" t="s">
        <v>13</v>
      </c>
      <c r="B10" s="8">
        <v>58</v>
      </c>
      <c r="C10" s="8" t="s">
        <v>14</v>
      </c>
      <c r="D10" s="9">
        <v>28.27</v>
      </c>
      <c r="E10" s="9">
        <v>26.06</v>
      </c>
      <c r="F10" s="9">
        <v>27.22</v>
      </c>
      <c r="G10" s="9">
        <v>26.26</v>
      </c>
      <c r="H10" s="9">
        <v>27.67</v>
      </c>
      <c r="I10" s="9">
        <v>25.7</v>
      </c>
      <c r="J10" s="9">
        <v>25.22</v>
      </c>
      <c r="K10" s="9">
        <v>25.93</v>
      </c>
      <c r="L10" s="9">
        <v>40</v>
      </c>
      <c r="M10" s="9">
        <v>27.73</v>
      </c>
      <c r="N10" s="9">
        <v>34.1</v>
      </c>
      <c r="O10" s="9">
        <v>25.39</v>
      </c>
      <c r="P10" s="9">
        <v>34.659999999999997</v>
      </c>
      <c r="Q10" s="9">
        <v>25.4</v>
      </c>
      <c r="R10" s="9">
        <v>33.58</v>
      </c>
      <c r="S10" s="9">
        <v>25.46</v>
      </c>
      <c r="T10" s="9">
        <v>36.83</v>
      </c>
      <c r="U10" s="9">
        <v>25.34</v>
      </c>
      <c r="V10" s="10"/>
      <c r="W10" s="55" t="s">
        <v>13</v>
      </c>
      <c r="X10" s="60">
        <v>2.2100000000000009</v>
      </c>
      <c r="Y10" s="60">
        <v>0.9599999999999973</v>
      </c>
      <c r="Z10" s="60">
        <v>1.9700000000000024</v>
      </c>
      <c r="AA10" s="60">
        <v>-0.71000000000000085</v>
      </c>
      <c r="AB10" s="60">
        <v>12.27</v>
      </c>
      <c r="AC10" s="60">
        <v>8.7100000000000009</v>
      </c>
      <c r="AD10" s="60">
        <v>9.259999999999998</v>
      </c>
      <c r="AE10" s="60">
        <v>8.1199999999999974</v>
      </c>
      <c r="AF10" s="60">
        <v>11.489999999999998</v>
      </c>
      <c r="AG10" s="61">
        <v>21.7</v>
      </c>
    </row>
    <row r="11" spans="1:33" s="13" customFormat="1" ht="17">
      <c r="A11" s="8" t="s">
        <v>13</v>
      </c>
      <c r="B11" s="8">
        <v>68</v>
      </c>
      <c r="C11" s="8" t="s">
        <v>14</v>
      </c>
      <c r="D11" s="9">
        <v>27.94</v>
      </c>
      <c r="E11" s="9">
        <v>26.29</v>
      </c>
      <c r="F11" s="9">
        <v>26.98</v>
      </c>
      <c r="G11" s="9">
        <v>26.47</v>
      </c>
      <c r="H11" s="9">
        <v>27.77</v>
      </c>
      <c r="I11" s="9">
        <v>25.89</v>
      </c>
      <c r="J11" s="9">
        <v>24.27</v>
      </c>
      <c r="K11" s="9">
        <v>26.07</v>
      </c>
      <c r="L11" s="9">
        <v>40</v>
      </c>
      <c r="M11" s="9">
        <v>28.15</v>
      </c>
      <c r="N11" s="9">
        <v>38.43</v>
      </c>
      <c r="O11" s="9">
        <v>25.78</v>
      </c>
      <c r="P11" s="9">
        <v>36.67</v>
      </c>
      <c r="Q11" s="9">
        <v>25.57</v>
      </c>
      <c r="R11" s="9">
        <v>34.97</v>
      </c>
      <c r="S11" s="9">
        <v>25.76</v>
      </c>
      <c r="T11" s="9">
        <v>40</v>
      </c>
      <c r="U11" s="9">
        <v>25.6</v>
      </c>
      <c r="V11" s="10"/>
      <c r="W11" s="55" t="s">
        <v>13</v>
      </c>
      <c r="X11" s="60">
        <v>1.6500000000000021</v>
      </c>
      <c r="Y11" s="60">
        <v>0.51000000000000156</v>
      </c>
      <c r="Z11" s="60">
        <v>1.879999999999999</v>
      </c>
      <c r="AA11" s="60">
        <v>-1.8000000000000007</v>
      </c>
      <c r="AB11" s="60">
        <v>11.850000000000001</v>
      </c>
      <c r="AC11" s="60">
        <v>12.649999999999999</v>
      </c>
      <c r="AD11" s="60">
        <v>11.100000000000001</v>
      </c>
      <c r="AE11" s="60">
        <v>9.2099999999999973</v>
      </c>
      <c r="AF11" s="60">
        <v>14.399999999999999</v>
      </c>
      <c r="AG11" s="61">
        <v>15.8</v>
      </c>
    </row>
    <row r="12" spans="1:33" s="13" customFormat="1" ht="17">
      <c r="A12" s="8" t="s">
        <v>24</v>
      </c>
      <c r="B12" s="8">
        <v>67</v>
      </c>
      <c r="C12" s="8" t="s">
        <v>23</v>
      </c>
      <c r="D12" s="19">
        <v>27.99919319152832</v>
      </c>
      <c r="E12" s="19">
        <v>24.934480667114258</v>
      </c>
      <c r="F12" s="19">
        <v>25.466175079345703</v>
      </c>
      <c r="G12" s="19">
        <v>24.921597480773926</v>
      </c>
      <c r="H12" s="19">
        <v>26.453340530395508</v>
      </c>
      <c r="I12" s="19">
        <v>24.374676704406738</v>
      </c>
      <c r="J12" s="19">
        <v>24.636750221252441</v>
      </c>
      <c r="K12" s="19">
        <v>24.627211570739746</v>
      </c>
      <c r="L12" s="19">
        <v>38.619325637817383</v>
      </c>
      <c r="M12" s="19">
        <v>26.466981887817383</v>
      </c>
      <c r="N12" s="19">
        <v>35.757850646972656</v>
      </c>
      <c r="O12" s="19">
        <v>24.952292442321777</v>
      </c>
      <c r="P12" s="19">
        <v>33.321714401245117</v>
      </c>
      <c r="Q12" s="19">
        <v>24.908100128173828</v>
      </c>
      <c r="R12" s="19">
        <v>32.694496154785156</v>
      </c>
      <c r="S12" s="19">
        <v>24.973536491394043</v>
      </c>
      <c r="T12" s="19">
        <v>34.173303604125977</v>
      </c>
      <c r="U12" s="19">
        <v>24.968091011047363</v>
      </c>
      <c r="V12" s="10"/>
      <c r="W12" s="55" t="s">
        <v>24</v>
      </c>
      <c r="X12" s="60">
        <v>3.0647125244140625</v>
      </c>
      <c r="Y12" s="60">
        <v>0.54457759857177734</v>
      </c>
      <c r="Z12" s="60">
        <v>2.0786638259887695</v>
      </c>
      <c r="AA12" s="60">
        <v>9.5386505126953125E-3</v>
      </c>
      <c r="AB12" s="60">
        <v>12.15234375</v>
      </c>
      <c r="AC12" s="60">
        <v>10.805558204650879</v>
      </c>
      <c r="AD12" s="60">
        <v>8.4136142730712891</v>
      </c>
      <c r="AE12" s="60">
        <v>7.7209596633911133</v>
      </c>
      <c r="AF12" s="60">
        <v>9.2052125930786133</v>
      </c>
      <c r="AG12" s="61">
        <v>36.1</v>
      </c>
    </row>
    <row r="13" spans="1:33" s="13" customFormat="1" ht="17">
      <c r="A13" s="8" t="s">
        <v>24</v>
      </c>
      <c r="B13" s="8">
        <v>72</v>
      </c>
      <c r="C13" s="8" t="s">
        <v>22</v>
      </c>
      <c r="D13" s="19">
        <v>27.710651397705078</v>
      </c>
      <c r="E13" s="19">
        <v>25.629493713378906</v>
      </c>
      <c r="F13" s="19">
        <v>26.070605278015137</v>
      </c>
      <c r="G13" s="19">
        <v>25.653509140014648</v>
      </c>
      <c r="H13" s="19">
        <v>26.462152481079102</v>
      </c>
      <c r="I13" s="19">
        <v>24.97696590423584</v>
      </c>
      <c r="J13" s="19">
        <v>25.554981231689453</v>
      </c>
      <c r="K13" s="19">
        <v>25.371308326721191</v>
      </c>
      <c r="L13" s="19">
        <v>38.925382614135742</v>
      </c>
      <c r="M13" s="19">
        <v>27.463818550109863</v>
      </c>
      <c r="N13" s="19">
        <v>35.606796264648438</v>
      </c>
      <c r="O13" s="19">
        <v>25.741019248962402</v>
      </c>
      <c r="P13" s="19">
        <v>33.984855651855469</v>
      </c>
      <c r="Q13" s="19">
        <v>25.712483406066895</v>
      </c>
      <c r="R13" s="19">
        <v>32.509134292602539</v>
      </c>
      <c r="S13" s="19">
        <v>25.811493873596191</v>
      </c>
      <c r="T13" s="19">
        <v>34.057765960693359</v>
      </c>
      <c r="U13" s="19">
        <v>25.767212867736816</v>
      </c>
      <c r="V13" s="10"/>
      <c r="W13" s="55" t="s">
        <v>24</v>
      </c>
      <c r="X13" s="60">
        <v>2.0811576843261719</v>
      </c>
      <c r="Y13" s="60">
        <v>0.41709613800048828</v>
      </c>
      <c r="Z13" s="60">
        <v>1.4851865768432617</v>
      </c>
      <c r="AA13" s="60">
        <v>0.18367290496826172</v>
      </c>
      <c r="AB13" s="60">
        <v>11.461564064025879</v>
      </c>
      <c r="AC13" s="60">
        <v>9.8657770156860352</v>
      </c>
      <c r="AD13" s="60">
        <v>8.2723722457885742</v>
      </c>
      <c r="AE13" s="60">
        <v>6.6976404190063477</v>
      </c>
      <c r="AF13" s="60">
        <v>8.290553092956543</v>
      </c>
      <c r="AG13" s="61">
        <v>43.2</v>
      </c>
    </row>
    <row r="14" spans="1:33" s="30" customFormat="1" ht="17">
      <c r="A14" s="28" t="s">
        <v>24</v>
      </c>
      <c r="B14" s="28">
        <v>56</v>
      </c>
      <c r="C14" s="28" t="s">
        <v>23</v>
      </c>
      <c r="D14" s="40">
        <v>23.900424957275391</v>
      </c>
      <c r="E14" s="40">
        <v>23.756128311157227</v>
      </c>
      <c r="F14" s="40">
        <v>23.273733139038086</v>
      </c>
      <c r="G14" s="40">
        <v>23.699470520019531</v>
      </c>
      <c r="H14" s="40">
        <v>24.778034210205078</v>
      </c>
      <c r="I14" s="40">
        <v>23.145215034484863</v>
      </c>
      <c r="J14" s="40">
        <v>25.671375274658203</v>
      </c>
      <c r="K14" s="40">
        <v>23.726280212402344</v>
      </c>
      <c r="L14" s="40">
        <v>36.978326797485352</v>
      </c>
      <c r="M14" s="40">
        <v>25.408576965332031</v>
      </c>
      <c r="N14" s="40">
        <v>31.387290000915527</v>
      </c>
      <c r="O14" s="40">
        <v>23.843263626098633</v>
      </c>
      <c r="P14" s="40">
        <v>32.157899856567383</v>
      </c>
      <c r="Q14" s="40">
        <v>23.832247734069824</v>
      </c>
      <c r="R14" s="40">
        <v>28.429106712341309</v>
      </c>
      <c r="S14" s="40">
        <v>23.732906341552734</v>
      </c>
      <c r="T14" s="40">
        <v>32.316608428955078</v>
      </c>
      <c r="U14" s="40">
        <v>23.744860649108887</v>
      </c>
      <c r="V14" s="29"/>
      <c r="W14" s="56" t="s">
        <v>24</v>
      </c>
      <c r="X14" s="62">
        <v>0.14429664611816406</v>
      </c>
      <c r="Y14" s="62">
        <v>-0.42573738098144531</v>
      </c>
      <c r="Z14" s="62">
        <v>1.6328191757202148</v>
      </c>
      <c r="AA14" s="62">
        <v>1.9450950622558594</v>
      </c>
      <c r="AB14" s="62">
        <v>11.56974983215332</v>
      </c>
      <c r="AC14" s="62">
        <v>7.5440263748168945</v>
      </c>
      <c r="AD14" s="62">
        <v>8.3256521224975586</v>
      </c>
      <c r="AE14" s="62">
        <v>4.6962003707885742</v>
      </c>
      <c r="AF14" s="62">
        <v>8.5717477798461914</v>
      </c>
      <c r="AG14" s="63">
        <v>57.4</v>
      </c>
    </row>
    <row r="15" spans="1:33" s="13" customFormat="1" ht="17">
      <c r="A15" s="8" t="s">
        <v>24</v>
      </c>
      <c r="B15" s="8">
        <v>74</v>
      </c>
      <c r="C15" s="8" t="s">
        <v>23</v>
      </c>
      <c r="D15" s="19">
        <v>27.935264587402344</v>
      </c>
      <c r="E15" s="19">
        <v>25.565129280090332</v>
      </c>
      <c r="F15" s="19">
        <v>26.684160232543945</v>
      </c>
      <c r="G15" s="19">
        <v>25.506803512573242</v>
      </c>
      <c r="H15" s="19">
        <v>25.912448883056641</v>
      </c>
      <c r="I15" s="19">
        <v>24.769036293029785</v>
      </c>
      <c r="J15" s="19">
        <v>26.278644561767578</v>
      </c>
      <c r="K15" s="19">
        <v>25.427907943725586</v>
      </c>
      <c r="L15" s="19">
        <v>38.706230163574219</v>
      </c>
      <c r="M15" s="19">
        <v>27.184864044189453</v>
      </c>
      <c r="N15" s="19">
        <v>35.940132141113281</v>
      </c>
      <c r="O15" s="19">
        <v>25.621913909912109</v>
      </c>
      <c r="P15" s="19">
        <v>34.731561660766602</v>
      </c>
      <c r="Q15" s="19">
        <v>25.595040321350098</v>
      </c>
      <c r="R15" s="19">
        <v>31.609333992004395</v>
      </c>
      <c r="S15" s="19">
        <v>25.619454383850098</v>
      </c>
      <c r="T15" s="19">
        <v>34.748245239257812</v>
      </c>
      <c r="U15" s="19">
        <v>25.580392837524414</v>
      </c>
      <c r="V15" s="10"/>
      <c r="W15" s="55" t="s">
        <v>24</v>
      </c>
      <c r="X15" s="60">
        <v>2.3701353073120117</v>
      </c>
      <c r="Y15" s="60">
        <v>1.1773567199707031</v>
      </c>
      <c r="Z15" s="60">
        <v>1.1434125900268555</v>
      </c>
      <c r="AA15" s="60">
        <v>0.85073661804199219</v>
      </c>
      <c r="AB15" s="60">
        <v>11.521366119384766</v>
      </c>
      <c r="AC15" s="60">
        <v>10.318218231201172</v>
      </c>
      <c r="AD15" s="60">
        <v>9.1365213394165039</v>
      </c>
      <c r="AE15" s="60">
        <v>5.9898796081542969</v>
      </c>
      <c r="AF15" s="60">
        <v>9.1678524017333984</v>
      </c>
      <c r="AG15" s="61">
        <v>29.4</v>
      </c>
    </row>
    <row r="16" spans="1:33" s="13" customFormat="1" ht="17">
      <c r="A16" s="8" t="s">
        <v>24</v>
      </c>
      <c r="B16" s="8">
        <v>58</v>
      </c>
      <c r="C16" s="8" t="s">
        <v>23</v>
      </c>
      <c r="D16" s="19">
        <v>28.077183723449707</v>
      </c>
      <c r="E16" s="19">
        <v>25.622065544128418</v>
      </c>
      <c r="F16" s="19">
        <v>26.219075202941895</v>
      </c>
      <c r="G16" s="19">
        <v>25.595159530639648</v>
      </c>
      <c r="H16" s="19">
        <v>26.454635620117188</v>
      </c>
      <c r="I16" s="19">
        <v>24.940939903259277</v>
      </c>
      <c r="J16" s="19">
        <v>26.678460121154785</v>
      </c>
      <c r="K16" s="19">
        <v>25.393081665039062</v>
      </c>
      <c r="L16" s="19">
        <v>40</v>
      </c>
      <c r="M16" s="19">
        <v>27.243732452392578</v>
      </c>
      <c r="N16" s="19">
        <v>36.20014762878418</v>
      </c>
      <c r="O16" s="19">
        <v>25.661114692687988</v>
      </c>
      <c r="P16" s="19">
        <v>35.280969619750977</v>
      </c>
      <c r="Q16" s="19">
        <v>25.597918510437012</v>
      </c>
      <c r="R16" s="19">
        <v>32.858854293823242</v>
      </c>
      <c r="S16" s="19">
        <v>25.67540168762207</v>
      </c>
      <c r="T16" s="19">
        <v>34.739358901977539</v>
      </c>
      <c r="U16" s="19">
        <v>25.705648422241211</v>
      </c>
      <c r="V16" s="10"/>
      <c r="W16" s="55" t="s">
        <v>24</v>
      </c>
      <c r="X16" s="60">
        <v>2.4551181793212891</v>
      </c>
      <c r="Y16" s="60">
        <v>0.62391567230224609</v>
      </c>
      <c r="Z16" s="60">
        <v>1.5136957168579102</v>
      </c>
      <c r="AA16" s="60">
        <v>1.2853784561157227</v>
      </c>
      <c r="AB16" s="60">
        <v>12.756267547607422</v>
      </c>
      <c r="AC16" s="60">
        <v>10.539032936096191</v>
      </c>
      <c r="AD16" s="60">
        <v>9.6830511093139648</v>
      </c>
      <c r="AE16" s="60">
        <v>7.1834526062011719</v>
      </c>
      <c r="AF16" s="60">
        <v>9.0337104797363281</v>
      </c>
      <c r="AG16" s="61">
        <v>19</v>
      </c>
    </row>
    <row r="17" spans="1:33" ht="17">
      <c r="A17" s="8" t="s">
        <v>24</v>
      </c>
      <c r="B17" s="8">
        <v>68</v>
      </c>
      <c r="C17" s="8" t="s">
        <v>23</v>
      </c>
      <c r="D17" s="25">
        <v>28.049845695495605</v>
      </c>
      <c r="E17" s="20">
        <v>25.376493453979492</v>
      </c>
      <c r="F17" s="20">
        <v>26.552714347839355</v>
      </c>
      <c r="G17" s="20">
        <v>25.345427513122559</v>
      </c>
      <c r="H17" s="20">
        <v>26.345987319946289</v>
      </c>
      <c r="I17" s="20">
        <v>24.719074249267578</v>
      </c>
      <c r="J17" s="20">
        <v>25.645350456237793</v>
      </c>
      <c r="K17" s="20">
        <v>25.090306282043457</v>
      </c>
      <c r="L17" s="20">
        <v>39.171236038208008</v>
      </c>
      <c r="M17" s="20">
        <v>27.153388023376465</v>
      </c>
      <c r="N17" s="20">
        <v>36.627616882324219</v>
      </c>
      <c r="O17" s="20">
        <v>25.392183303833008</v>
      </c>
      <c r="P17" s="20">
        <v>33.611427307128906</v>
      </c>
      <c r="Q17" s="20">
        <v>25.318802833557129</v>
      </c>
      <c r="R17" s="20">
        <v>32.741039276123047</v>
      </c>
      <c r="S17" s="20">
        <v>25.539905548095703</v>
      </c>
      <c r="T17" s="20">
        <v>35.30735969543457</v>
      </c>
      <c r="U17" s="20">
        <v>25.37672233581543</v>
      </c>
      <c r="W17" s="55" t="s">
        <v>24</v>
      </c>
      <c r="X17" s="60">
        <v>2.6733522415161133</v>
      </c>
      <c r="Y17" s="60">
        <v>1.2072868347167969</v>
      </c>
      <c r="Z17" s="60">
        <v>1.6269130706787109</v>
      </c>
      <c r="AA17" s="60">
        <v>0.55504417419433594</v>
      </c>
      <c r="AB17" s="60">
        <v>12.017848014831543</v>
      </c>
      <c r="AC17" s="60">
        <v>11.235433578491211</v>
      </c>
      <c r="AD17" s="60">
        <v>8.2926244735717773</v>
      </c>
      <c r="AE17" s="60">
        <v>7.2011337280273438</v>
      </c>
      <c r="AF17" s="60">
        <v>9.9306373596191406</v>
      </c>
      <c r="AG17" s="61">
        <v>39.5</v>
      </c>
    </row>
    <row r="18" spans="1:33" ht="17">
      <c r="A18" s="8" t="s">
        <v>24</v>
      </c>
      <c r="B18" s="21" t="s">
        <v>25</v>
      </c>
      <c r="C18" s="21" t="s">
        <v>22</v>
      </c>
      <c r="D18" s="25">
        <v>27.554132461547852</v>
      </c>
      <c r="E18" s="20">
        <v>25.804936408996582</v>
      </c>
      <c r="F18" s="20">
        <v>26.847853660583496</v>
      </c>
      <c r="G18" s="20">
        <v>25.608665466308594</v>
      </c>
      <c r="H18" s="20">
        <v>26.621423721313477</v>
      </c>
      <c r="I18" s="20">
        <v>25.068411827087402</v>
      </c>
      <c r="J18" s="20">
        <v>26.339818954467773</v>
      </c>
      <c r="K18" s="20">
        <v>25.571425437927246</v>
      </c>
      <c r="L18" s="20">
        <v>39.380033493041992</v>
      </c>
      <c r="M18" s="20">
        <v>27.737407684326172</v>
      </c>
      <c r="N18" s="20">
        <v>36.23760986328125</v>
      </c>
      <c r="O18" s="20">
        <v>25.797975540161133</v>
      </c>
      <c r="P18" s="20">
        <v>34.309125900268555</v>
      </c>
      <c r="Q18" s="20">
        <v>25.951647758483887</v>
      </c>
      <c r="R18" s="20">
        <v>31.916044235229492</v>
      </c>
      <c r="S18" s="20">
        <v>25.963852882385254</v>
      </c>
      <c r="T18" s="20">
        <v>35.746992111206055</v>
      </c>
      <c r="U18" s="20">
        <v>25.837514877319336</v>
      </c>
      <c r="W18" s="55" t="s">
        <v>24</v>
      </c>
      <c r="X18" s="60">
        <v>1.7491960525512695</v>
      </c>
      <c r="Y18" s="60">
        <v>1.2391881942749023</v>
      </c>
      <c r="Z18" s="60">
        <v>1.5530118942260742</v>
      </c>
      <c r="AA18" s="60">
        <v>0.76839351654052734</v>
      </c>
      <c r="AB18" s="60">
        <v>11.64262580871582</v>
      </c>
      <c r="AC18" s="60">
        <v>10.439634323120117</v>
      </c>
      <c r="AD18" s="60">
        <v>8.357478141784668</v>
      </c>
      <c r="AE18" s="60">
        <v>5.9521913528442383</v>
      </c>
      <c r="AF18" s="60">
        <v>9.9094772338867188</v>
      </c>
      <c r="AG18" s="61">
        <v>42.2</v>
      </c>
    </row>
    <row r="19" spans="1:33" ht="17">
      <c r="A19" s="8" t="s">
        <v>24</v>
      </c>
      <c r="B19" s="21" t="s">
        <v>25</v>
      </c>
      <c r="C19" s="21" t="s">
        <v>22</v>
      </c>
      <c r="D19" s="25">
        <v>27.911803245544434</v>
      </c>
      <c r="E19" s="20">
        <v>25.888672828674316</v>
      </c>
      <c r="F19" s="20">
        <v>26.202402114868164</v>
      </c>
      <c r="G19" s="20">
        <v>25.932476043701172</v>
      </c>
      <c r="H19" s="20">
        <v>26.875400543212891</v>
      </c>
      <c r="I19" s="20">
        <v>25.277359008789062</v>
      </c>
      <c r="J19" s="20">
        <v>26.599519729614258</v>
      </c>
      <c r="K19" s="20">
        <v>25.795326232910156</v>
      </c>
      <c r="L19" s="20">
        <v>39.671854019165039</v>
      </c>
      <c r="M19" s="20">
        <v>27.854128837585449</v>
      </c>
      <c r="N19" s="20">
        <v>36.483285903930664</v>
      </c>
      <c r="O19" s="20">
        <v>25.989492416381836</v>
      </c>
      <c r="P19" s="20">
        <v>34.621383666992188</v>
      </c>
      <c r="Q19" s="20">
        <v>25.961677551269531</v>
      </c>
      <c r="R19" s="20">
        <v>32.299598693847656</v>
      </c>
      <c r="S19" s="20">
        <v>26.02918815612793</v>
      </c>
      <c r="T19" s="20">
        <v>35.115007400512695</v>
      </c>
      <c r="U19" s="20">
        <v>25.737720489501953</v>
      </c>
      <c r="W19" s="55" t="s">
        <v>24</v>
      </c>
      <c r="X19" s="60">
        <v>2.0231304168701172</v>
      </c>
      <c r="Y19" s="60">
        <v>0.26992607116699219</v>
      </c>
      <c r="Z19" s="60">
        <v>1.5980415344238281</v>
      </c>
      <c r="AA19" s="60">
        <v>0.80419349670410156</v>
      </c>
      <c r="AB19" s="60">
        <v>11.81772518157959</v>
      </c>
      <c r="AC19" s="60">
        <v>10.493793487548828</v>
      </c>
      <c r="AD19" s="60">
        <v>8.6597061157226562</v>
      </c>
      <c r="AE19" s="60">
        <v>6.2704105377197266</v>
      </c>
      <c r="AF19" s="60">
        <v>9.3772869110107422</v>
      </c>
      <c r="AG19" s="61">
        <v>43.5</v>
      </c>
    </row>
    <row r="20" spans="1:33" ht="17">
      <c r="A20" s="8" t="s">
        <v>24</v>
      </c>
      <c r="B20" s="21" t="s">
        <v>26</v>
      </c>
      <c r="C20" s="21" t="s">
        <v>22</v>
      </c>
      <c r="D20" s="25">
        <v>26.525813102722168</v>
      </c>
      <c r="E20" s="20">
        <v>25.716724395751953</v>
      </c>
      <c r="F20" s="20">
        <v>25.896806716918945</v>
      </c>
      <c r="G20" s="20">
        <v>25.724444389343262</v>
      </c>
      <c r="H20" s="20">
        <v>26.811049461364746</v>
      </c>
      <c r="I20" s="20">
        <v>25.05180549621582</v>
      </c>
      <c r="J20" s="20">
        <v>26.223611831665039</v>
      </c>
      <c r="K20" s="20">
        <v>25.370951652526855</v>
      </c>
      <c r="L20" s="20">
        <v>39.334417343139648</v>
      </c>
      <c r="M20" s="20">
        <v>27.559914588928223</v>
      </c>
      <c r="N20" s="20">
        <v>34.462848663330078</v>
      </c>
      <c r="O20" s="20">
        <v>25.774468421936035</v>
      </c>
      <c r="P20" s="20">
        <v>35.090848922729492</v>
      </c>
      <c r="Q20" s="20">
        <v>25.818415641784668</v>
      </c>
      <c r="R20" s="20">
        <v>31.303956985473633</v>
      </c>
      <c r="S20" s="20">
        <v>25.784807205200195</v>
      </c>
      <c r="T20" s="20">
        <v>35.111183166503906</v>
      </c>
      <c r="U20" s="20">
        <v>25.606204032897949</v>
      </c>
      <c r="W20" s="55" t="s">
        <v>24</v>
      </c>
      <c r="X20" s="60">
        <v>0.80908870697021484</v>
      </c>
      <c r="Y20" s="60">
        <v>0.17236232757568359</v>
      </c>
      <c r="Z20" s="60">
        <v>1.7592439651489258</v>
      </c>
      <c r="AA20" s="60">
        <v>0.85266017913818359</v>
      </c>
      <c r="AB20" s="60">
        <v>11.774502754211426</v>
      </c>
      <c r="AC20" s="60">
        <v>8.688380241394043</v>
      </c>
      <c r="AD20" s="60">
        <v>9.2724332809448242</v>
      </c>
      <c r="AE20" s="60">
        <v>5.5191497802734375</v>
      </c>
      <c r="AF20" s="60">
        <v>9.504979133605957</v>
      </c>
      <c r="AG20" s="61">
        <v>33.299999999999997</v>
      </c>
    </row>
    <row r="21" spans="1:33" ht="17">
      <c r="A21" s="8" t="s">
        <v>24</v>
      </c>
      <c r="B21" s="21" t="s">
        <v>26</v>
      </c>
      <c r="C21" s="21" t="s">
        <v>22</v>
      </c>
      <c r="D21" s="25">
        <v>28.168785095214844</v>
      </c>
      <c r="E21" s="20">
        <v>25.765518188476562</v>
      </c>
      <c r="F21" s="20">
        <v>25.766737937927246</v>
      </c>
      <c r="G21" s="20">
        <v>25.832306861877441</v>
      </c>
      <c r="H21" s="20">
        <v>26.696047782897949</v>
      </c>
      <c r="I21" s="20">
        <v>25.083930969238281</v>
      </c>
      <c r="J21" s="20">
        <v>26.489494323730469</v>
      </c>
      <c r="K21" s="20">
        <v>25.571351051330566</v>
      </c>
      <c r="L21" s="20">
        <v>40</v>
      </c>
      <c r="M21" s="20">
        <v>27.561010360717773</v>
      </c>
      <c r="N21" s="20">
        <v>37.536626815795898</v>
      </c>
      <c r="O21" s="20">
        <v>25.945954322814941</v>
      </c>
      <c r="P21" s="20">
        <v>34.699594497680664</v>
      </c>
      <c r="Q21" s="20">
        <v>25.802404403686523</v>
      </c>
      <c r="R21" s="20">
        <v>32.652362823486328</v>
      </c>
      <c r="S21" s="20">
        <v>25.968847274780273</v>
      </c>
      <c r="T21" s="20">
        <v>36.043909072875977</v>
      </c>
      <c r="U21" s="20">
        <v>25.975388526916504</v>
      </c>
      <c r="W21" s="55" t="s">
        <v>24</v>
      </c>
      <c r="X21" s="60">
        <v>2.4032669067382812</v>
      </c>
      <c r="Y21" s="60">
        <v>-6.5568923950195312E-2</v>
      </c>
      <c r="Z21" s="60">
        <v>1.612116813659668</v>
      </c>
      <c r="AA21" s="60">
        <v>0.91814327239990234</v>
      </c>
      <c r="AB21" s="60">
        <v>12.438989639282227</v>
      </c>
      <c r="AC21" s="60">
        <v>11.590672492980957</v>
      </c>
      <c r="AD21" s="60">
        <v>8.8971900939941406</v>
      </c>
      <c r="AE21" s="60">
        <v>6.6835155487060547</v>
      </c>
      <c r="AF21" s="60">
        <v>10.068520545959473</v>
      </c>
      <c r="AG21" s="61">
        <v>42.3</v>
      </c>
    </row>
    <row r="22" spans="1:33" ht="17">
      <c r="A22" s="8" t="s">
        <v>24</v>
      </c>
      <c r="B22" s="8">
        <v>66</v>
      </c>
      <c r="C22" s="8" t="s">
        <v>23</v>
      </c>
      <c r="D22" s="26">
        <v>28.770859718322754</v>
      </c>
      <c r="E22" s="26">
        <v>25.875930786132812</v>
      </c>
      <c r="F22" s="26">
        <v>29.083057403564453</v>
      </c>
      <c r="G22" s="26">
        <v>25.824509620666504</v>
      </c>
      <c r="H22" s="26">
        <v>25.531301498413086</v>
      </c>
      <c r="I22" s="26">
        <v>24.855618476867676</v>
      </c>
      <c r="J22" s="26">
        <v>26.313300132751465</v>
      </c>
      <c r="K22" s="26">
        <v>25.551555633544922</v>
      </c>
      <c r="L22" s="26">
        <v>40</v>
      </c>
      <c r="M22" s="26">
        <v>27.471936225891113</v>
      </c>
      <c r="N22" s="26">
        <v>40</v>
      </c>
      <c r="O22" s="26">
        <v>25.874608039855957</v>
      </c>
      <c r="P22" s="26">
        <v>34.651979446411133</v>
      </c>
      <c r="Q22" s="26">
        <v>25.781804084777832</v>
      </c>
      <c r="R22" s="26">
        <v>36.812797546386719</v>
      </c>
      <c r="S22" s="26">
        <v>25.936093330383301</v>
      </c>
      <c r="T22" s="19">
        <v>39.271156311035156</v>
      </c>
      <c r="U22" s="19">
        <v>25.785976409912109</v>
      </c>
      <c r="W22" s="55" t="s">
        <v>24</v>
      </c>
      <c r="X22" s="60">
        <v>2.8949289321899414</v>
      </c>
      <c r="Y22" s="60">
        <v>3.2585477828979492</v>
      </c>
      <c r="Z22" s="60">
        <v>0.67568302154541016</v>
      </c>
      <c r="AA22" s="60">
        <v>0.76174449920654297</v>
      </c>
      <c r="AB22" s="60">
        <v>12.528063774108887</v>
      </c>
      <c r="AC22" s="60">
        <v>14.125391960144043</v>
      </c>
      <c r="AD22" s="60">
        <v>8.8701753616333008</v>
      </c>
      <c r="AE22" s="60">
        <v>10.876704216003418</v>
      </c>
      <c r="AF22" s="60">
        <v>13.485179901123047</v>
      </c>
      <c r="AG22" s="61">
        <v>24.6</v>
      </c>
    </row>
    <row r="23" spans="1:33" ht="17">
      <c r="A23" s="8" t="s">
        <v>24</v>
      </c>
      <c r="B23" s="8">
        <v>66</v>
      </c>
      <c r="C23" s="8" t="s">
        <v>23</v>
      </c>
      <c r="D23" s="26">
        <v>30.168237686157227</v>
      </c>
      <c r="E23" s="26">
        <v>25.900570869445801</v>
      </c>
      <c r="F23" s="26">
        <v>30.786911964416504</v>
      </c>
      <c r="G23" s="26">
        <v>25.882349967956543</v>
      </c>
      <c r="H23" s="26">
        <v>26.140146255493164</v>
      </c>
      <c r="I23" s="26">
        <v>25.03242015838623</v>
      </c>
      <c r="J23" s="26">
        <v>26.648980140686035</v>
      </c>
      <c r="K23" s="26">
        <v>25.705477714538574</v>
      </c>
      <c r="L23" s="26">
        <v>40</v>
      </c>
      <c r="M23" s="26">
        <v>27.672981262207031</v>
      </c>
      <c r="N23" s="26">
        <v>40</v>
      </c>
      <c r="O23" s="26">
        <v>25.944517135620117</v>
      </c>
      <c r="P23" s="26">
        <v>35.18931770324707</v>
      </c>
      <c r="Q23" s="26">
        <v>25.915143966674805</v>
      </c>
      <c r="R23" s="26">
        <v>38.579389572143555</v>
      </c>
      <c r="S23" s="26">
        <v>25.965847969055176</v>
      </c>
      <c r="T23" s="19">
        <v>39.854108810424805</v>
      </c>
      <c r="U23" s="19">
        <v>25.861982345581055</v>
      </c>
      <c r="W23" s="55" t="s">
        <v>24</v>
      </c>
      <c r="X23" s="60">
        <v>4.2676668167114258</v>
      </c>
      <c r="Y23" s="60">
        <v>4.9045619964599609</v>
      </c>
      <c r="Z23" s="60">
        <v>1.1077260971069336</v>
      </c>
      <c r="AA23" s="60">
        <v>0.94350242614746094</v>
      </c>
      <c r="AB23" s="60">
        <v>12.327018737792969</v>
      </c>
      <c r="AC23" s="60">
        <v>14.055482864379883</v>
      </c>
      <c r="AD23" s="60">
        <v>9.2741737365722656</v>
      </c>
      <c r="AE23" s="60">
        <v>12.613541603088379</v>
      </c>
      <c r="AF23" s="60">
        <v>13.99212646484375</v>
      </c>
      <c r="AG23" s="61">
        <v>11.8</v>
      </c>
    </row>
    <row r="24" spans="1:33" s="37" customFormat="1" ht="17">
      <c r="A24" s="34" t="s">
        <v>17</v>
      </c>
      <c r="B24" s="34">
        <v>82</v>
      </c>
      <c r="C24" s="34" t="s">
        <v>18</v>
      </c>
      <c r="D24" s="35">
        <v>25.55</v>
      </c>
      <c r="E24" s="35">
        <v>25.68</v>
      </c>
      <c r="F24" s="35">
        <v>24.76</v>
      </c>
      <c r="G24" s="35">
        <v>25.6</v>
      </c>
      <c r="H24" s="35">
        <v>27.2</v>
      </c>
      <c r="I24" s="35">
        <v>25.35</v>
      </c>
      <c r="J24" s="35">
        <v>23.51</v>
      </c>
      <c r="K24" s="35">
        <v>25.18</v>
      </c>
      <c r="L24" s="35">
        <v>34.1</v>
      </c>
      <c r="M24" s="35">
        <v>27.24</v>
      </c>
      <c r="N24" s="35">
        <v>31.18</v>
      </c>
      <c r="O24" s="35">
        <v>25.05</v>
      </c>
      <c r="P24" s="35">
        <v>33.6</v>
      </c>
      <c r="Q24" s="35">
        <v>25.05</v>
      </c>
      <c r="R24" s="35">
        <v>31.28</v>
      </c>
      <c r="S24" s="35">
        <v>25.17</v>
      </c>
      <c r="T24" s="36">
        <v>34.35</v>
      </c>
      <c r="U24" s="36">
        <v>25.06</v>
      </c>
      <c r="W24" s="64" t="s">
        <v>17</v>
      </c>
      <c r="X24" s="65">
        <v>-0.12999999999999901</v>
      </c>
      <c r="Y24" s="65">
        <v>-0.83999999999999986</v>
      </c>
      <c r="Z24" s="65">
        <v>1.8499999999999979</v>
      </c>
      <c r="AA24" s="65">
        <v>-1.6699999999999982</v>
      </c>
      <c r="AB24" s="65">
        <v>6.860000000000003</v>
      </c>
      <c r="AC24" s="65">
        <v>6.129999999999999</v>
      </c>
      <c r="AD24" s="65">
        <v>8.5500000000000007</v>
      </c>
      <c r="AE24" s="65">
        <v>6.1099999999999994</v>
      </c>
      <c r="AF24" s="65">
        <v>9.2900000000000027</v>
      </c>
      <c r="AG24" s="66">
        <v>79.099999999999994</v>
      </c>
    </row>
    <row r="25" spans="1:33" s="37" customFormat="1" ht="17">
      <c r="A25" s="34" t="s">
        <v>17</v>
      </c>
      <c r="B25" s="34">
        <v>68</v>
      </c>
      <c r="C25" s="34" t="s">
        <v>20</v>
      </c>
      <c r="D25" s="35">
        <v>27.1</v>
      </c>
      <c r="E25" s="35">
        <v>27.07</v>
      </c>
      <c r="F25" s="35">
        <v>25.91</v>
      </c>
      <c r="G25" s="35">
        <v>26.92</v>
      </c>
      <c r="H25" s="35">
        <v>27.78</v>
      </c>
      <c r="I25" s="35">
        <v>26.57</v>
      </c>
      <c r="J25" s="35">
        <v>24.36</v>
      </c>
      <c r="K25" s="35">
        <v>26.42</v>
      </c>
      <c r="L25" s="35">
        <v>40</v>
      </c>
      <c r="M25" s="35">
        <v>28.86</v>
      </c>
      <c r="N25" s="35">
        <v>34.08</v>
      </c>
      <c r="O25" s="35">
        <v>26.64</v>
      </c>
      <c r="P25" s="35">
        <v>34.53</v>
      </c>
      <c r="Q25" s="35">
        <v>26.52</v>
      </c>
      <c r="R25" s="35">
        <v>33.17</v>
      </c>
      <c r="S25" s="35">
        <v>26.62</v>
      </c>
      <c r="T25" s="36">
        <v>37.82</v>
      </c>
      <c r="U25" s="36">
        <v>26.64</v>
      </c>
      <c r="W25" s="64" t="s">
        <v>17</v>
      </c>
      <c r="X25" s="65">
        <v>3.0000000000001137E-2</v>
      </c>
      <c r="Y25" s="65">
        <v>-1.0100000000000016</v>
      </c>
      <c r="Z25" s="65">
        <v>1.2100000000000009</v>
      </c>
      <c r="AA25" s="65">
        <v>-2.0600000000000023</v>
      </c>
      <c r="AB25" s="65">
        <v>11.14</v>
      </c>
      <c r="AC25" s="65">
        <v>7.4399999999999977</v>
      </c>
      <c r="AD25" s="65">
        <v>8.0100000000000016</v>
      </c>
      <c r="AE25" s="65">
        <v>6.5500000000000007</v>
      </c>
      <c r="AF25" s="65">
        <v>11.18</v>
      </c>
      <c r="AG25" s="66">
        <v>63.5</v>
      </c>
    </row>
    <row r="26" spans="1:33" s="37" customFormat="1" ht="17">
      <c r="A26" s="34" t="s">
        <v>17</v>
      </c>
      <c r="B26" s="34">
        <v>75</v>
      </c>
      <c r="C26" s="34" t="s">
        <v>18</v>
      </c>
      <c r="D26" s="35">
        <v>26.19</v>
      </c>
      <c r="E26" s="35">
        <v>25.99</v>
      </c>
      <c r="F26" s="35">
        <v>24.41</v>
      </c>
      <c r="G26" s="35">
        <v>25.76</v>
      </c>
      <c r="H26" s="35">
        <v>27.11</v>
      </c>
      <c r="I26" s="35">
        <v>25.45</v>
      </c>
      <c r="J26" s="35">
        <v>23.47</v>
      </c>
      <c r="K26" s="35">
        <v>25.27</v>
      </c>
      <c r="L26" s="35">
        <v>39.22</v>
      </c>
      <c r="M26" s="35">
        <v>27.71</v>
      </c>
      <c r="N26" s="35">
        <v>34.58</v>
      </c>
      <c r="O26" s="35">
        <v>25.77</v>
      </c>
      <c r="P26" s="35">
        <v>37.090000000000003</v>
      </c>
      <c r="Q26" s="35">
        <v>25.81</v>
      </c>
      <c r="R26" s="35">
        <v>32.32</v>
      </c>
      <c r="S26" s="35">
        <v>25.69</v>
      </c>
      <c r="T26" s="36">
        <v>36.79</v>
      </c>
      <c r="U26" s="36">
        <v>25.73</v>
      </c>
      <c r="W26" s="64" t="s">
        <v>17</v>
      </c>
      <c r="X26" s="65">
        <v>0.20000000000000284</v>
      </c>
      <c r="Y26" s="65">
        <v>-1.3500000000000014</v>
      </c>
      <c r="Z26" s="65">
        <v>1.6600000000000001</v>
      </c>
      <c r="AA26" s="65">
        <v>-1.8000000000000007</v>
      </c>
      <c r="AB26" s="65">
        <v>11.509999999999998</v>
      </c>
      <c r="AC26" s="65">
        <v>8.8099999999999987</v>
      </c>
      <c r="AD26" s="65">
        <v>11.280000000000005</v>
      </c>
      <c r="AE26" s="65">
        <v>6.629999999999999</v>
      </c>
      <c r="AF26" s="65">
        <v>11.059999999999999</v>
      </c>
      <c r="AG26" s="66">
        <v>17</v>
      </c>
    </row>
    <row r="27" spans="1:33" s="37" customFormat="1" ht="17">
      <c r="A27" s="34" t="s">
        <v>19</v>
      </c>
      <c r="B27" s="34">
        <v>62</v>
      </c>
      <c r="C27" s="34" t="s">
        <v>20</v>
      </c>
      <c r="D27" s="36">
        <v>29.37</v>
      </c>
      <c r="E27" s="36">
        <v>27.21</v>
      </c>
      <c r="F27" s="36">
        <v>27.58</v>
      </c>
      <c r="G27" s="36">
        <v>27.24</v>
      </c>
      <c r="H27" s="36">
        <v>30.51</v>
      </c>
      <c r="I27" s="36">
        <v>26.97</v>
      </c>
      <c r="J27" s="36">
        <v>25.25</v>
      </c>
      <c r="K27" s="36">
        <v>26.78</v>
      </c>
      <c r="L27" s="36">
        <v>40</v>
      </c>
      <c r="M27" s="36">
        <v>28.91</v>
      </c>
      <c r="N27" s="36">
        <v>36.26</v>
      </c>
      <c r="O27" s="36">
        <v>26.71</v>
      </c>
      <c r="P27" s="36">
        <v>36.369999999999997</v>
      </c>
      <c r="Q27" s="36">
        <v>26.49</v>
      </c>
      <c r="R27" s="36">
        <v>34.47</v>
      </c>
      <c r="S27" s="36">
        <v>26.69</v>
      </c>
      <c r="T27" s="36">
        <v>39.26</v>
      </c>
      <c r="U27" s="36">
        <v>26.62</v>
      </c>
      <c r="W27" s="64" t="s">
        <v>19</v>
      </c>
      <c r="X27" s="65">
        <v>2.16</v>
      </c>
      <c r="Y27" s="65">
        <v>0.33999999999999986</v>
      </c>
      <c r="Z27" s="65">
        <v>3.5400000000000027</v>
      </c>
      <c r="AA27" s="65">
        <v>-1.5300000000000011</v>
      </c>
      <c r="AB27" s="65">
        <v>11.09</v>
      </c>
      <c r="AC27" s="65">
        <v>9.5499999999999972</v>
      </c>
      <c r="AD27" s="65">
        <v>9.879999999999999</v>
      </c>
      <c r="AE27" s="65">
        <v>7.7799999999999976</v>
      </c>
      <c r="AF27" s="65">
        <v>12.639999999999997</v>
      </c>
      <c r="AG27" s="66">
        <v>26.9</v>
      </c>
    </row>
    <row r="28" spans="1:33" s="37" customFormat="1" ht="17">
      <c r="A28" s="34" t="s">
        <v>19</v>
      </c>
      <c r="B28" s="34">
        <v>74</v>
      </c>
      <c r="C28" s="34" t="s">
        <v>20</v>
      </c>
      <c r="D28" s="36">
        <v>28.04</v>
      </c>
      <c r="E28" s="36">
        <v>26.92</v>
      </c>
      <c r="F28" s="36">
        <v>26.75</v>
      </c>
      <c r="G28" s="36">
        <v>26.92</v>
      </c>
      <c r="H28" s="36">
        <v>28.14</v>
      </c>
      <c r="I28" s="36">
        <v>26.52</v>
      </c>
      <c r="J28" s="36">
        <v>23.82</v>
      </c>
      <c r="K28" s="36">
        <v>26.36</v>
      </c>
      <c r="L28" s="36">
        <v>40</v>
      </c>
      <c r="M28" s="36">
        <v>29.51</v>
      </c>
      <c r="N28" s="36">
        <v>36.26</v>
      </c>
      <c r="O28" s="36">
        <v>27.02</v>
      </c>
      <c r="P28" s="36">
        <v>35.31</v>
      </c>
      <c r="Q28" s="36">
        <v>26.83</v>
      </c>
      <c r="R28" s="36">
        <v>35.03</v>
      </c>
      <c r="S28" s="36">
        <v>26.84</v>
      </c>
      <c r="T28" s="36">
        <v>38.11</v>
      </c>
      <c r="U28" s="36">
        <v>26.86</v>
      </c>
      <c r="W28" s="64" t="s">
        <v>19</v>
      </c>
      <c r="X28" s="65">
        <v>1.1199999999999974</v>
      </c>
      <c r="Y28" s="65">
        <v>-0.17000000000000171</v>
      </c>
      <c r="Z28" s="65">
        <v>1.620000000000001</v>
      </c>
      <c r="AA28" s="65">
        <v>-2.5399999999999991</v>
      </c>
      <c r="AB28" s="65">
        <v>10.489999999999998</v>
      </c>
      <c r="AC28" s="65">
        <v>9.2399999999999984</v>
      </c>
      <c r="AD28" s="65">
        <v>8.480000000000004</v>
      </c>
      <c r="AE28" s="65">
        <v>8.1900000000000013</v>
      </c>
      <c r="AF28" s="65">
        <v>11.25</v>
      </c>
      <c r="AG28" s="66">
        <v>51.8</v>
      </c>
    </row>
    <row r="29" spans="1:33" s="37" customFormat="1" ht="17">
      <c r="A29" s="34" t="s">
        <v>27</v>
      </c>
      <c r="B29" s="34">
        <v>71</v>
      </c>
      <c r="C29" s="34" t="s">
        <v>23</v>
      </c>
      <c r="D29" s="38">
        <v>28.926263809204102</v>
      </c>
      <c r="E29" s="38">
        <v>25.683085441589355</v>
      </c>
      <c r="F29" s="38">
        <v>29.033700942993164</v>
      </c>
      <c r="G29" s="38">
        <v>25.754510879516602</v>
      </c>
      <c r="H29" s="38">
        <v>28.728985786437988</v>
      </c>
      <c r="I29" s="38">
        <v>25.443032264709473</v>
      </c>
      <c r="J29" s="38">
        <v>28.704724311828613</v>
      </c>
      <c r="K29" s="38">
        <v>25.751280784606934</v>
      </c>
      <c r="L29" s="38">
        <v>40</v>
      </c>
      <c r="M29" s="38">
        <v>27.503037452697754</v>
      </c>
      <c r="N29" s="38">
        <v>40</v>
      </c>
      <c r="O29" s="38">
        <v>25.869879722595215</v>
      </c>
      <c r="P29" s="38">
        <v>38.994850158691406</v>
      </c>
      <c r="Q29" s="38">
        <v>25.765411376953125</v>
      </c>
      <c r="R29" s="38">
        <v>38.05341911315918</v>
      </c>
      <c r="S29" s="38">
        <v>25.850404739379883</v>
      </c>
      <c r="T29" s="38">
        <v>39.56071662902832</v>
      </c>
      <c r="U29" s="38">
        <v>25.679933547973633</v>
      </c>
      <c r="W29" s="64" t="s">
        <v>27</v>
      </c>
      <c r="X29" s="65">
        <v>3.2431783676147461</v>
      </c>
      <c r="Y29" s="65">
        <v>3.2791900634765625</v>
      </c>
      <c r="Z29" s="65">
        <v>3.2859535217285156</v>
      </c>
      <c r="AA29" s="65">
        <v>2.9534435272216797</v>
      </c>
      <c r="AB29" s="65">
        <v>12.496962547302246</v>
      </c>
      <c r="AC29" s="65">
        <v>14.130120277404785</v>
      </c>
      <c r="AD29" s="65">
        <v>13.229438781738281</v>
      </c>
      <c r="AE29" s="65">
        <v>12.203014373779297</v>
      </c>
      <c r="AF29" s="65">
        <v>13.880783081054688</v>
      </c>
      <c r="AG29" s="66">
        <v>2.1</v>
      </c>
    </row>
    <row r="30" spans="1:33" s="37" customFormat="1" ht="17">
      <c r="A30" s="34" t="s">
        <v>27</v>
      </c>
      <c r="B30" s="34">
        <v>71</v>
      </c>
      <c r="C30" s="34" t="s">
        <v>23</v>
      </c>
      <c r="D30" s="38">
        <v>30.7138671875</v>
      </c>
      <c r="E30" s="38">
        <v>26.111650466918945</v>
      </c>
      <c r="F30" s="38">
        <v>30.386059761047363</v>
      </c>
      <c r="G30" s="38">
        <v>26.170022010803223</v>
      </c>
      <c r="H30" s="38">
        <v>29.055211067199707</v>
      </c>
      <c r="I30" s="38">
        <v>25.903278350830078</v>
      </c>
      <c r="J30" s="38">
        <v>28.714556694030762</v>
      </c>
      <c r="K30" s="38">
        <v>26.102410316467285</v>
      </c>
      <c r="L30" s="38">
        <v>40</v>
      </c>
      <c r="M30" s="38">
        <v>27.795977592468262</v>
      </c>
      <c r="N30" s="38">
        <v>40</v>
      </c>
      <c r="O30" s="38">
        <v>26.142746925354004</v>
      </c>
      <c r="P30" s="38">
        <v>38.673877716064453</v>
      </c>
      <c r="Q30" s="38">
        <v>26.191648483276367</v>
      </c>
      <c r="R30" s="38">
        <v>40</v>
      </c>
      <c r="S30" s="38">
        <v>26.180964469909668</v>
      </c>
      <c r="T30" s="38">
        <v>39.222053527832031</v>
      </c>
      <c r="U30" s="38">
        <v>26.229273796081543</v>
      </c>
      <c r="W30" s="64" t="s">
        <v>27</v>
      </c>
      <c r="X30" s="65">
        <v>4.6022167205810547</v>
      </c>
      <c r="Y30" s="65">
        <v>4.2160377502441406</v>
      </c>
      <c r="Z30" s="65">
        <v>3.1519327163696289</v>
      </c>
      <c r="AA30" s="65">
        <v>2.6121463775634766</v>
      </c>
      <c r="AB30" s="65">
        <v>12.204022407531738</v>
      </c>
      <c r="AC30" s="65">
        <v>13.857253074645996</v>
      </c>
      <c r="AD30" s="65">
        <v>12.482229232788086</v>
      </c>
      <c r="AE30" s="65">
        <v>13.819035530090332</v>
      </c>
      <c r="AF30" s="65">
        <v>12.992779731750488</v>
      </c>
      <c r="AG30" s="66">
        <v>2</v>
      </c>
    </row>
    <row r="31" spans="1:33" s="37" customFormat="1" ht="17">
      <c r="A31" s="34" t="s">
        <v>27</v>
      </c>
      <c r="B31" s="34">
        <v>82</v>
      </c>
      <c r="C31" s="34" t="s">
        <v>23</v>
      </c>
      <c r="D31" s="38">
        <v>29.766219139099121</v>
      </c>
      <c r="E31" s="38">
        <v>25.725479125976562</v>
      </c>
      <c r="F31" s="38">
        <v>29.205352783203125</v>
      </c>
      <c r="G31" s="38">
        <v>25.785594940185547</v>
      </c>
      <c r="H31" s="38">
        <v>26.798136711120605</v>
      </c>
      <c r="I31" s="38">
        <v>25.070278167724609</v>
      </c>
      <c r="J31" s="38">
        <v>25.804750442504883</v>
      </c>
      <c r="K31" s="38">
        <v>25.449786186218262</v>
      </c>
      <c r="L31" s="38">
        <v>40</v>
      </c>
      <c r="M31" s="38">
        <v>27.40590763092041</v>
      </c>
      <c r="N31" s="38">
        <v>40</v>
      </c>
      <c r="O31" s="38">
        <v>25.770045280456543</v>
      </c>
      <c r="P31" s="38">
        <v>33.607248306274414</v>
      </c>
      <c r="Q31" s="38">
        <v>25.71898365020752</v>
      </c>
      <c r="R31" s="38">
        <v>37.853763580322266</v>
      </c>
      <c r="S31" s="38">
        <v>25.874814033508301</v>
      </c>
      <c r="T31" s="38">
        <v>38.030477523803711</v>
      </c>
      <c r="U31" s="38">
        <v>25.854662895202637</v>
      </c>
      <c r="W31" s="64" t="s">
        <v>27</v>
      </c>
      <c r="X31" s="65">
        <v>4.0407400131225586</v>
      </c>
      <c r="Y31" s="65">
        <v>3.4197578430175781</v>
      </c>
      <c r="Z31" s="65">
        <v>1.7278585433959961</v>
      </c>
      <c r="AA31" s="65">
        <v>0.35496425628662109</v>
      </c>
      <c r="AB31" s="65">
        <v>12.59409236907959</v>
      </c>
      <c r="AC31" s="65">
        <v>14.229954719543457</v>
      </c>
      <c r="AD31" s="65">
        <v>7.8882646560668945</v>
      </c>
      <c r="AE31" s="65">
        <v>11.978949546813965</v>
      </c>
      <c r="AF31" s="65">
        <v>12.175814628601074</v>
      </c>
      <c r="AG31" s="66">
        <v>28.3</v>
      </c>
    </row>
    <row r="32" spans="1:33" s="37" customFormat="1" ht="17">
      <c r="A32" s="34" t="s">
        <v>27</v>
      </c>
      <c r="B32" s="34">
        <v>62</v>
      </c>
      <c r="C32" s="34" t="s">
        <v>22</v>
      </c>
      <c r="D32" s="38">
        <v>28.400535583496094</v>
      </c>
      <c r="E32" s="38">
        <v>25.939501762390137</v>
      </c>
      <c r="F32" s="38">
        <v>27.304661750793457</v>
      </c>
      <c r="G32" s="38">
        <v>25.944443702697754</v>
      </c>
      <c r="H32" s="38">
        <v>28.879096984863281</v>
      </c>
      <c r="I32" s="38">
        <v>25.688551902770996</v>
      </c>
      <c r="J32" s="38">
        <v>26.716170310974121</v>
      </c>
      <c r="K32" s="38">
        <v>25.738082885742188</v>
      </c>
      <c r="L32" s="38">
        <v>40</v>
      </c>
      <c r="M32" s="38">
        <v>27.386030197143555</v>
      </c>
      <c r="N32" s="38">
        <v>37.996599197387695</v>
      </c>
      <c r="O32" s="38">
        <v>25.94147777557373</v>
      </c>
      <c r="P32" s="38">
        <v>36.203933715820312</v>
      </c>
      <c r="Q32" s="38">
        <v>25.959006309509277</v>
      </c>
      <c r="R32" s="38">
        <v>33.094646453857422</v>
      </c>
      <c r="S32" s="38">
        <v>26.035388946533203</v>
      </c>
      <c r="T32" s="38">
        <v>36.974239349365234</v>
      </c>
      <c r="U32" s="38">
        <v>25.940237045288086</v>
      </c>
      <c r="W32" s="64" t="s">
        <v>27</v>
      </c>
      <c r="X32" s="65">
        <v>2.461033821105957</v>
      </c>
      <c r="Y32" s="65">
        <v>1.3602180480957031</v>
      </c>
      <c r="Z32" s="65">
        <v>3.1905450820922852</v>
      </c>
      <c r="AA32" s="65">
        <v>0.97808742523193359</v>
      </c>
      <c r="AB32" s="65">
        <v>12.613969802856445</v>
      </c>
      <c r="AC32" s="65">
        <v>12.055121421813965</v>
      </c>
      <c r="AD32" s="65">
        <v>10.244927406311035</v>
      </c>
      <c r="AE32" s="65">
        <v>7.0592575073242188</v>
      </c>
      <c r="AF32" s="65">
        <v>11.034002304077148</v>
      </c>
      <c r="AG32" s="66">
        <v>14</v>
      </c>
    </row>
    <row r="33" spans="1:33" s="37" customFormat="1" ht="17">
      <c r="A33" s="34" t="s">
        <v>27</v>
      </c>
      <c r="B33" s="34">
        <v>68</v>
      </c>
      <c r="C33" s="34" t="s">
        <v>22</v>
      </c>
      <c r="D33" s="38">
        <v>27.644565582275391</v>
      </c>
      <c r="E33" s="38">
        <v>26.323910713195801</v>
      </c>
      <c r="F33" s="38">
        <v>26.608442306518555</v>
      </c>
      <c r="G33" s="38">
        <v>26.311286926269531</v>
      </c>
      <c r="H33" s="38">
        <v>26.200319290161133</v>
      </c>
      <c r="I33" s="38">
        <v>25.585291862487793</v>
      </c>
      <c r="J33" s="38">
        <v>26.17035961151123</v>
      </c>
      <c r="K33" s="38">
        <v>26.039128303527832</v>
      </c>
      <c r="L33" s="38">
        <v>39.583267211914062</v>
      </c>
      <c r="M33" s="38">
        <v>27.977874755859375</v>
      </c>
      <c r="N33" s="38">
        <v>35.492212295532227</v>
      </c>
      <c r="O33" s="38">
        <v>26.418587684631348</v>
      </c>
      <c r="P33" s="38">
        <v>34.609086990356445</v>
      </c>
      <c r="Q33" s="38">
        <v>26.422135353088379</v>
      </c>
      <c r="R33" s="38">
        <v>32.305141448974609</v>
      </c>
      <c r="S33" s="38">
        <v>26.450954437255859</v>
      </c>
      <c r="T33" s="38">
        <v>35.337961196899414</v>
      </c>
      <c r="U33" s="38">
        <v>26.325431823730469</v>
      </c>
      <c r="W33" s="64" t="s">
        <v>27</v>
      </c>
      <c r="X33" s="65">
        <v>1.3206548690795898</v>
      </c>
      <c r="Y33" s="65">
        <v>0.29715538024902344</v>
      </c>
      <c r="Z33" s="65">
        <v>0.61502742767333984</v>
      </c>
      <c r="AA33" s="65">
        <v>0.13123130798339844</v>
      </c>
      <c r="AB33" s="65">
        <v>11.605392456054688</v>
      </c>
      <c r="AC33" s="65">
        <v>9.0736246109008789</v>
      </c>
      <c r="AD33" s="65">
        <v>8.1869516372680664</v>
      </c>
      <c r="AE33" s="65">
        <v>5.85418701171875</v>
      </c>
      <c r="AF33" s="65">
        <v>9.0125293731689453</v>
      </c>
      <c r="AG33" s="66">
        <v>48</v>
      </c>
    </row>
    <row r="34" spans="1:33" s="37" customFormat="1" ht="17">
      <c r="A34" s="34" t="s">
        <v>27</v>
      </c>
      <c r="B34" s="34">
        <v>74</v>
      </c>
      <c r="C34" s="34" t="s">
        <v>22</v>
      </c>
      <c r="D34" s="38">
        <v>28.457780838012695</v>
      </c>
      <c r="E34" s="38">
        <v>26.18653678894043</v>
      </c>
      <c r="F34" s="38">
        <v>25.344223022460938</v>
      </c>
      <c r="G34" s="38">
        <v>26.146662712097168</v>
      </c>
      <c r="H34" s="38">
        <v>26.813159942626953</v>
      </c>
      <c r="I34" s="38">
        <v>25.566082954406738</v>
      </c>
      <c r="J34" s="38">
        <v>25.320465087890625</v>
      </c>
      <c r="K34" s="38">
        <v>25.829936981201172</v>
      </c>
      <c r="L34" s="38">
        <v>40</v>
      </c>
      <c r="M34" s="38">
        <v>27.782329559326172</v>
      </c>
      <c r="N34" s="38">
        <v>37.046100616455078</v>
      </c>
      <c r="O34" s="38">
        <v>26.390216827392578</v>
      </c>
      <c r="P34" s="38">
        <v>33.645772933959961</v>
      </c>
      <c r="Q34" s="38">
        <v>26.281037330627441</v>
      </c>
      <c r="R34" s="38">
        <v>33.508443832397461</v>
      </c>
      <c r="S34" s="38">
        <v>26.405971527099609</v>
      </c>
      <c r="T34" s="38">
        <v>36.63543701171875</v>
      </c>
      <c r="U34" s="38">
        <v>26.218827247619629</v>
      </c>
      <c r="W34" s="64" t="s">
        <v>27</v>
      </c>
      <c r="X34" s="65">
        <v>2.2712440490722656</v>
      </c>
      <c r="Y34" s="65">
        <v>-0.80243968963623047</v>
      </c>
      <c r="Z34" s="65">
        <v>1.2470769882202148</v>
      </c>
      <c r="AA34" s="65">
        <v>-0.50947189331054688</v>
      </c>
      <c r="AB34" s="65">
        <v>12.217670440673828</v>
      </c>
      <c r="AC34" s="65">
        <v>10.6558837890625</v>
      </c>
      <c r="AD34" s="65">
        <v>7.3647356033325195</v>
      </c>
      <c r="AE34" s="65">
        <v>7.1024723052978516</v>
      </c>
      <c r="AF34" s="65">
        <v>10.416609764099121</v>
      </c>
      <c r="AG34" s="66">
        <v>70.400000000000006</v>
      </c>
    </row>
    <row r="35" spans="1:33" s="37" customFormat="1" ht="17">
      <c r="A35" s="34" t="s">
        <v>27</v>
      </c>
      <c r="B35" s="39" t="s">
        <v>28</v>
      </c>
      <c r="C35" s="34" t="s">
        <v>23</v>
      </c>
      <c r="D35" s="38">
        <v>26.635406494140625</v>
      </c>
      <c r="E35" s="38">
        <v>25.109439849853516</v>
      </c>
      <c r="F35" s="38">
        <v>25.93552303314209</v>
      </c>
      <c r="G35" s="38">
        <v>25.153440475463867</v>
      </c>
      <c r="H35" s="38">
        <v>25.457904815673828</v>
      </c>
      <c r="I35" s="38">
        <v>24.46163272857666</v>
      </c>
      <c r="J35" s="38">
        <v>25.43853759765625</v>
      </c>
      <c r="K35" s="38">
        <v>24.94963550567627</v>
      </c>
      <c r="L35" s="38">
        <v>38.967849731445312</v>
      </c>
      <c r="M35" s="38">
        <v>26.687247276306152</v>
      </c>
      <c r="N35" s="38">
        <v>34.956092834472656</v>
      </c>
      <c r="O35" s="38">
        <v>25.318714141845703</v>
      </c>
      <c r="P35" s="38">
        <v>33.981447219848633</v>
      </c>
      <c r="Q35" s="38">
        <v>25.202993392944336</v>
      </c>
      <c r="R35" s="38">
        <v>31.393571853637695</v>
      </c>
      <c r="S35" s="38">
        <v>25.324952125549316</v>
      </c>
      <c r="T35" s="38">
        <v>34.19080924987793</v>
      </c>
      <c r="U35" s="38">
        <v>25.25679874420166</v>
      </c>
      <c r="W35" s="64" t="s">
        <v>27</v>
      </c>
      <c r="X35" s="65">
        <v>1.5259666442871094</v>
      </c>
      <c r="Y35" s="65">
        <v>0.78208255767822266</v>
      </c>
      <c r="Z35" s="65">
        <v>0.99627208709716797</v>
      </c>
      <c r="AA35" s="65">
        <v>0.48890209197998047</v>
      </c>
      <c r="AB35" s="65">
        <v>12.28060245513916</v>
      </c>
      <c r="AC35" s="65">
        <v>9.6373786926269531</v>
      </c>
      <c r="AD35" s="65">
        <v>8.7784538269042969</v>
      </c>
      <c r="AE35" s="65">
        <v>6.0686197280883789</v>
      </c>
      <c r="AF35" s="65">
        <v>8.9340105056762695</v>
      </c>
      <c r="AG35" s="66">
        <v>29.3</v>
      </c>
    </row>
    <row r="36" spans="1:33" s="37" customFormat="1" ht="17">
      <c r="A36" s="34" t="s">
        <v>27</v>
      </c>
      <c r="B36" s="39" t="s">
        <v>29</v>
      </c>
      <c r="C36" s="34" t="s">
        <v>22</v>
      </c>
      <c r="D36" s="38">
        <v>28.346919059753418</v>
      </c>
      <c r="E36" s="38">
        <v>26.746553421020508</v>
      </c>
      <c r="F36" s="38">
        <v>27.156764030456543</v>
      </c>
      <c r="G36" s="38">
        <v>26.856020927429199</v>
      </c>
      <c r="H36" s="38">
        <v>26.906167984008789</v>
      </c>
      <c r="I36" s="38">
        <v>25.968973159790039</v>
      </c>
      <c r="J36" s="38">
        <v>26.899556159973145</v>
      </c>
      <c r="K36" s="38">
        <v>26.544415473937988</v>
      </c>
      <c r="L36" s="38">
        <v>40</v>
      </c>
      <c r="M36" s="38">
        <v>28.320038795471191</v>
      </c>
      <c r="N36" s="38">
        <v>37.135629653930664</v>
      </c>
      <c r="O36" s="38">
        <v>26.798751831054688</v>
      </c>
      <c r="P36" s="38">
        <v>35.149057388305664</v>
      </c>
      <c r="Q36" s="38">
        <v>26.802975654602051</v>
      </c>
      <c r="R36" s="38">
        <v>33.138967514038086</v>
      </c>
      <c r="S36" s="38">
        <v>26.927122116088867</v>
      </c>
      <c r="T36" s="38">
        <v>36.545309066772461</v>
      </c>
      <c r="U36" s="38">
        <v>26.967155456542969</v>
      </c>
      <c r="W36" s="64" t="s">
        <v>27</v>
      </c>
      <c r="X36" s="65">
        <v>1.6003656387329102</v>
      </c>
      <c r="Y36" s="65">
        <v>0.30074310302734375</v>
      </c>
      <c r="Z36" s="65">
        <v>0.93719482421875</v>
      </c>
      <c r="AA36" s="65">
        <v>0.35514068603515625</v>
      </c>
      <c r="AB36" s="65">
        <v>11.679961204528809</v>
      </c>
      <c r="AC36" s="65">
        <v>10.336877822875977</v>
      </c>
      <c r="AD36" s="65">
        <v>8.3460817337036133</v>
      </c>
      <c r="AE36" s="65">
        <v>6.2118453979492188</v>
      </c>
      <c r="AF36" s="65">
        <v>9.5781536102294922</v>
      </c>
      <c r="AG36" s="66">
        <v>49.3</v>
      </c>
    </row>
    <row r="37" spans="1:33" s="37" customFormat="1" ht="17">
      <c r="A37" s="34" t="s">
        <v>27</v>
      </c>
      <c r="B37" s="39" t="s">
        <v>29</v>
      </c>
      <c r="C37" s="34" t="s">
        <v>22</v>
      </c>
      <c r="D37" s="38">
        <v>28.887152671813965</v>
      </c>
      <c r="E37" s="38">
        <v>25.958392143249512</v>
      </c>
      <c r="F37" s="38">
        <v>26.799737930297852</v>
      </c>
      <c r="G37" s="38">
        <v>25.811455726623535</v>
      </c>
      <c r="H37" s="38">
        <v>27.275318145751935</v>
      </c>
      <c r="I37" s="38">
        <v>25.022581100463867</v>
      </c>
      <c r="J37" s="38">
        <v>28.036161422729492</v>
      </c>
      <c r="K37" s="38">
        <v>25.570493698120117</v>
      </c>
      <c r="L37" s="38">
        <v>40</v>
      </c>
      <c r="M37" s="38">
        <v>27.361522674560547</v>
      </c>
      <c r="N37" s="38">
        <v>37.159219741821289</v>
      </c>
      <c r="O37" s="38">
        <v>25.778334617614746</v>
      </c>
      <c r="P37" s="38">
        <v>34.762302398681641</v>
      </c>
      <c r="Q37" s="38">
        <v>25.769420623779297</v>
      </c>
      <c r="R37" s="38">
        <v>32.504926681518555</v>
      </c>
      <c r="S37" s="38">
        <v>25.883640289306641</v>
      </c>
      <c r="T37" s="38">
        <v>35.889270782470703</v>
      </c>
      <c r="U37" s="38">
        <v>25.966032981872559</v>
      </c>
      <c r="W37" s="64" t="s">
        <v>27</v>
      </c>
      <c r="X37" s="65">
        <v>2.9287605285644531</v>
      </c>
      <c r="Y37" s="65">
        <v>0.98828220367431641</v>
      </c>
      <c r="Z37" s="65">
        <v>2.2527370452880682</v>
      </c>
      <c r="AA37" s="65">
        <v>2.465667724609375</v>
      </c>
      <c r="AB37" s="65">
        <v>12.638477325439453</v>
      </c>
      <c r="AC37" s="65">
        <v>11.380885124206543</v>
      </c>
      <c r="AD37" s="65">
        <v>8.9928817749023438</v>
      </c>
      <c r="AE37" s="65">
        <v>6.6212863922119141</v>
      </c>
      <c r="AF37" s="65">
        <v>9.9232378005981445</v>
      </c>
      <c r="AG37" s="66">
        <v>33.4</v>
      </c>
    </row>
    <row r="38" spans="1:33" s="37" customFormat="1" ht="17">
      <c r="A38" s="34" t="s">
        <v>27</v>
      </c>
      <c r="B38" s="39" t="s">
        <v>30</v>
      </c>
      <c r="C38" s="34" t="s">
        <v>22</v>
      </c>
      <c r="D38" s="38">
        <v>29.520524024963379</v>
      </c>
      <c r="E38" s="38">
        <v>25.941027641296387</v>
      </c>
      <c r="F38" s="38">
        <v>27.315655708312988</v>
      </c>
      <c r="G38" s="38">
        <v>25.806405067443848</v>
      </c>
      <c r="H38" s="38">
        <v>26.562544822692871</v>
      </c>
      <c r="I38" s="38">
        <v>24.741936683654785</v>
      </c>
      <c r="J38" s="38">
        <v>27.875408172607422</v>
      </c>
      <c r="K38" s="38">
        <v>25.576419830322266</v>
      </c>
      <c r="L38" s="38">
        <v>39.991943359375</v>
      </c>
      <c r="M38" s="38">
        <v>27.430773735046387</v>
      </c>
      <c r="N38" s="38">
        <v>37.252754211425781</v>
      </c>
      <c r="O38" s="38">
        <v>25.813763618469238</v>
      </c>
      <c r="P38" s="38">
        <v>34.01971435546875</v>
      </c>
      <c r="Q38" s="38">
        <v>25.823981285095215</v>
      </c>
      <c r="R38" s="38">
        <v>33.427972793579102</v>
      </c>
      <c r="S38" s="38">
        <v>26.057320594787598</v>
      </c>
      <c r="T38" s="38">
        <v>35.082561492919922</v>
      </c>
      <c r="U38" s="38">
        <v>25.799295425415039</v>
      </c>
      <c r="W38" s="64" t="s">
        <v>27</v>
      </c>
      <c r="X38" s="65">
        <v>3.5794963836669922</v>
      </c>
      <c r="Y38" s="65">
        <v>1.5092506408691406</v>
      </c>
      <c r="Z38" s="65">
        <v>1.8206081390380859</v>
      </c>
      <c r="AA38" s="65">
        <v>2.2989883422851562</v>
      </c>
      <c r="AB38" s="65">
        <v>12.561169624328613</v>
      </c>
      <c r="AC38" s="65">
        <v>11.438990592956543</v>
      </c>
      <c r="AD38" s="65">
        <v>8.1957330703735352</v>
      </c>
      <c r="AE38" s="65">
        <v>7.3706521987915039</v>
      </c>
      <c r="AF38" s="65">
        <v>9.2832660675048828</v>
      </c>
      <c r="AG38" s="66">
        <v>38.4</v>
      </c>
    </row>
    <row r="39" spans="1:33" s="37" customFormat="1" ht="17">
      <c r="A39" s="34" t="s">
        <v>27</v>
      </c>
      <c r="B39" s="39" t="s">
        <v>30</v>
      </c>
      <c r="C39" s="34" t="s">
        <v>22</v>
      </c>
      <c r="D39" s="38">
        <v>28.839886665344238</v>
      </c>
      <c r="E39" s="38">
        <v>25.269469261169434</v>
      </c>
      <c r="F39" s="38">
        <v>26.918182373046875</v>
      </c>
      <c r="G39" s="38">
        <v>25.262572288513184</v>
      </c>
      <c r="H39" s="38">
        <v>26.142482757568359</v>
      </c>
      <c r="I39" s="38">
        <v>24.270434379577637</v>
      </c>
      <c r="J39" s="38">
        <v>27.786149024963379</v>
      </c>
      <c r="K39" s="38">
        <v>24.995038032531738</v>
      </c>
      <c r="L39" s="38">
        <v>40</v>
      </c>
      <c r="M39" s="38">
        <v>26.720840454101562</v>
      </c>
      <c r="N39" s="38">
        <v>37.671119689941406</v>
      </c>
      <c r="O39" s="38">
        <v>25.267793655395508</v>
      </c>
      <c r="P39" s="38">
        <v>34.033105850219727</v>
      </c>
      <c r="Q39" s="38">
        <v>25.145330429077148</v>
      </c>
      <c r="R39" s="38">
        <v>33.141456604003906</v>
      </c>
      <c r="S39" s="38">
        <v>25.234478950500488</v>
      </c>
      <c r="T39" s="38">
        <v>35.330608367919922</v>
      </c>
      <c r="U39" s="38">
        <v>25.192907333374023</v>
      </c>
      <c r="W39" s="64" t="s">
        <v>27</v>
      </c>
      <c r="X39" s="65">
        <v>3.5704174041748047</v>
      </c>
      <c r="Y39" s="65">
        <v>1.6556100845336914</v>
      </c>
      <c r="Z39" s="65">
        <v>1.8720483779907227</v>
      </c>
      <c r="AA39" s="65">
        <v>2.7911109924316406</v>
      </c>
      <c r="AB39" s="65">
        <v>13.279159545898438</v>
      </c>
      <c r="AC39" s="65">
        <v>12.403326034545898</v>
      </c>
      <c r="AD39" s="65">
        <v>8.8877754211425781</v>
      </c>
      <c r="AE39" s="65">
        <v>7.906977653503418</v>
      </c>
      <c r="AF39" s="65">
        <v>10.137701034545898</v>
      </c>
      <c r="AG39" s="66">
        <v>27</v>
      </c>
    </row>
    <row r="40" spans="1:33" s="37" customFormat="1" ht="17">
      <c r="A40" s="34" t="s">
        <v>27</v>
      </c>
      <c r="B40" s="39" t="s">
        <v>31</v>
      </c>
      <c r="C40" s="34" t="s">
        <v>22</v>
      </c>
      <c r="D40" s="38">
        <v>29.762050628662109</v>
      </c>
      <c r="E40" s="38">
        <v>24.439927101135254</v>
      </c>
      <c r="F40" s="38">
        <v>26.518332481384277</v>
      </c>
      <c r="G40" s="38">
        <v>24.426630973815918</v>
      </c>
      <c r="H40" s="38">
        <v>28.104642868041992</v>
      </c>
      <c r="I40" s="38">
        <v>24.096487045288086</v>
      </c>
      <c r="J40" s="38">
        <v>27.730339050292969</v>
      </c>
      <c r="K40" s="38">
        <v>24.313339233398438</v>
      </c>
      <c r="L40" s="38">
        <v>40</v>
      </c>
      <c r="M40" s="38">
        <v>25.764320373535156</v>
      </c>
      <c r="N40" s="38">
        <v>37.854877471923828</v>
      </c>
      <c r="O40" s="38">
        <v>24.413813591003418</v>
      </c>
      <c r="P40" s="38">
        <v>33.845054626464844</v>
      </c>
      <c r="Q40" s="38">
        <v>24.322654724121094</v>
      </c>
      <c r="R40" s="38">
        <v>34.738697052001953</v>
      </c>
      <c r="S40" s="38">
        <v>24.479971885681152</v>
      </c>
      <c r="T40" s="38">
        <v>35.90092658996582</v>
      </c>
      <c r="U40" s="38">
        <v>24.414936065673828</v>
      </c>
      <c r="W40" s="64" t="s">
        <v>27</v>
      </c>
      <c r="X40" s="65">
        <v>5.3221235275268555</v>
      </c>
      <c r="Y40" s="65">
        <v>2.0917015075683594</v>
      </c>
      <c r="Z40" s="65">
        <v>4.0081558227539062</v>
      </c>
      <c r="AA40" s="65">
        <v>3.4169998168945312</v>
      </c>
      <c r="AB40" s="65">
        <v>14.235679626464844</v>
      </c>
      <c r="AC40" s="65">
        <v>13.44106388092041</v>
      </c>
      <c r="AD40" s="65">
        <v>9.52239990234375</v>
      </c>
      <c r="AE40" s="65">
        <v>10.258725166320801</v>
      </c>
      <c r="AF40" s="65">
        <v>11.485990524291992</v>
      </c>
      <c r="AG40" s="66">
        <v>14.6</v>
      </c>
    </row>
    <row r="41" spans="1:33" s="37" customFormat="1" ht="17">
      <c r="A41" s="34" t="s">
        <v>27</v>
      </c>
      <c r="B41" s="39" t="s">
        <v>31</v>
      </c>
      <c r="C41" s="34" t="s">
        <v>22</v>
      </c>
      <c r="D41" s="38">
        <v>32.739505767822266</v>
      </c>
      <c r="E41" s="38">
        <v>24.291369438171387</v>
      </c>
      <c r="F41" s="38">
        <v>27.294625282287598</v>
      </c>
      <c r="G41" s="38">
        <v>23.978889465332031</v>
      </c>
      <c r="H41" s="38">
        <v>28.570903778076172</v>
      </c>
      <c r="I41" s="38">
        <v>23.90019416809082</v>
      </c>
      <c r="J41" s="38">
        <v>27.935166358947754</v>
      </c>
      <c r="K41" s="38">
        <v>23.89047908782959</v>
      </c>
      <c r="L41" s="38">
        <v>40</v>
      </c>
      <c r="M41" s="38">
        <v>25.410544395446777</v>
      </c>
      <c r="N41" s="38">
        <v>39.677305221557617</v>
      </c>
      <c r="O41" s="38">
        <v>24.072454452514648</v>
      </c>
      <c r="P41" s="38">
        <v>35.23944091796875</v>
      </c>
      <c r="Q41" s="38">
        <v>23.951230049133301</v>
      </c>
      <c r="R41" s="38">
        <v>35.601902008056641</v>
      </c>
      <c r="S41" s="38">
        <v>24.255754470825195</v>
      </c>
      <c r="T41" s="38">
        <v>36.054927825927734</v>
      </c>
      <c r="U41" s="38">
        <v>23.954986572265625</v>
      </c>
      <c r="W41" s="64" t="s">
        <v>27</v>
      </c>
      <c r="X41" s="65">
        <v>8.4481363296508789</v>
      </c>
      <c r="Y41" s="65">
        <v>3.3157358169555664</v>
      </c>
      <c r="Z41" s="65">
        <v>4.6707096099853516</v>
      </c>
      <c r="AA41" s="65">
        <v>4.0446872711181641</v>
      </c>
      <c r="AB41" s="65">
        <v>14.589455604553223</v>
      </c>
      <c r="AC41" s="65">
        <v>15.604850769042969</v>
      </c>
      <c r="AD41" s="65">
        <v>11.288210868835449</v>
      </c>
      <c r="AE41" s="65">
        <v>11.346147537231445</v>
      </c>
      <c r="AF41" s="65">
        <v>12.099941253662109</v>
      </c>
      <c r="AG41" s="66">
        <v>3.3</v>
      </c>
    </row>
    <row r="42" spans="1:33" s="37" customFormat="1" ht="17">
      <c r="A42" s="34" t="s">
        <v>27</v>
      </c>
      <c r="B42" s="39" t="s">
        <v>32</v>
      </c>
      <c r="C42" s="34" t="s">
        <v>22</v>
      </c>
      <c r="D42" s="38">
        <v>28.217110633850098</v>
      </c>
      <c r="E42" s="38">
        <v>25.159775733947754</v>
      </c>
      <c r="F42" s="38">
        <v>26.020964622497559</v>
      </c>
      <c r="G42" s="38">
        <v>25.262591361999512</v>
      </c>
      <c r="H42" s="38">
        <v>27.120444297790527</v>
      </c>
      <c r="I42" s="38">
        <v>24.771608352661133</v>
      </c>
      <c r="J42" s="38">
        <v>25.56925106048584</v>
      </c>
      <c r="K42" s="38">
        <v>24.956825256347656</v>
      </c>
      <c r="L42" s="38">
        <v>38.653678894042969</v>
      </c>
      <c r="M42" s="38">
        <v>26.933741569519043</v>
      </c>
      <c r="N42" s="38">
        <v>38.377803802490234</v>
      </c>
      <c r="O42" s="38">
        <v>25.303689956665039</v>
      </c>
      <c r="P42" s="38">
        <v>33.733680725097656</v>
      </c>
      <c r="Q42" s="38">
        <v>25.195716857910156</v>
      </c>
      <c r="R42" s="38">
        <v>33.394832611083984</v>
      </c>
      <c r="S42" s="38">
        <v>25.494996070861816</v>
      </c>
      <c r="T42" s="38">
        <v>36.462123870849609</v>
      </c>
      <c r="U42" s="38">
        <v>25.317648887634277</v>
      </c>
      <c r="W42" s="64" t="s">
        <v>27</v>
      </c>
      <c r="X42" s="65">
        <v>3.0573348999023438</v>
      </c>
      <c r="Y42" s="65">
        <v>0.75837326049804688</v>
      </c>
      <c r="Z42" s="65">
        <v>2.3488359451293945</v>
      </c>
      <c r="AA42" s="65">
        <v>0.61242580413818359</v>
      </c>
      <c r="AB42" s="65">
        <v>11.719937324523926</v>
      </c>
      <c r="AC42" s="65">
        <v>13.074113845825195</v>
      </c>
      <c r="AD42" s="65">
        <v>8.5379638671875</v>
      </c>
      <c r="AE42" s="65">
        <v>7.899836540222168</v>
      </c>
      <c r="AF42" s="65">
        <v>11.144474983215332</v>
      </c>
      <c r="AG42" s="66">
        <v>49.5</v>
      </c>
    </row>
    <row r="43" spans="1:33" s="37" customFormat="1" ht="17">
      <c r="A43" s="34" t="s">
        <v>27</v>
      </c>
      <c r="B43" s="39" t="s">
        <v>32</v>
      </c>
      <c r="C43" s="34" t="s">
        <v>22</v>
      </c>
      <c r="D43" s="38">
        <v>28.80544376373291</v>
      </c>
      <c r="E43" s="38">
        <v>25.165372848510742</v>
      </c>
      <c r="F43" s="38">
        <v>25.202524185180664</v>
      </c>
      <c r="G43" s="38">
        <v>25.13870906829834</v>
      </c>
      <c r="H43" s="38">
        <v>27.108829498291016</v>
      </c>
      <c r="I43" s="38">
        <v>24.802726745605469</v>
      </c>
      <c r="J43" s="38">
        <v>25.754884719848633</v>
      </c>
      <c r="K43" s="38">
        <v>24.991240501403809</v>
      </c>
      <c r="L43" s="38">
        <v>40</v>
      </c>
      <c r="M43" s="38">
        <v>27.035264015197754</v>
      </c>
      <c r="N43" s="38">
        <v>38.655994415283203</v>
      </c>
      <c r="O43" s="38">
        <v>25.232017517089844</v>
      </c>
      <c r="P43" s="38">
        <v>33.408475875854492</v>
      </c>
      <c r="Q43" s="38">
        <v>25.26632022857666</v>
      </c>
      <c r="R43" s="38">
        <v>34.074394226074219</v>
      </c>
      <c r="S43" s="38">
        <v>25.406368255615234</v>
      </c>
      <c r="T43" s="38">
        <v>37.419639587402344</v>
      </c>
      <c r="U43" s="38">
        <v>25.389430999755859</v>
      </c>
      <c r="W43" s="64" t="s">
        <v>27</v>
      </c>
      <c r="X43" s="65">
        <v>3.640070915222168</v>
      </c>
      <c r="Y43" s="65">
        <v>6.3815116882324219E-2</v>
      </c>
      <c r="Z43" s="65">
        <v>2.3061027526855469</v>
      </c>
      <c r="AA43" s="65">
        <v>0.76364421844482422</v>
      </c>
      <c r="AB43" s="65">
        <v>12.964735984802246</v>
      </c>
      <c r="AC43" s="65">
        <v>13.423976898193359</v>
      </c>
      <c r="AD43" s="65">
        <v>8.142155647277832</v>
      </c>
      <c r="AE43" s="65">
        <v>8.6680259704589844</v>
      </c>
      <c r="AF43" s="65">
        <v>12.030208587646484</v>
      </c>
      <c r="AG43" s="66">
        <v>56.6</v>
      </c>
    </row>
    <row r="44" spans="1:33" s="37" customFormat="1" ht="17">
      <c r="A44" s="34" t="s">
        <v>27</v>
      </c>
      <c r="B44" s="39" t="s">
        <v>33</v>
      </c>
      <c r="C44" s="39" t="s">
        <v>22</v>
      </c>
      <c r="D44" s="38">
        <v>27.060273170471191</v>
      </c>
      <c r="E44" s="38">
        <v>25.607148170471191</v>
      </c>
      <c r="F44" s="38">
        <v>26.191527366638184</v>
      </c>
      <c r="G44" s="38">
        <v>25.665995597839355</v>
      </c>
      <c r="H44" s="38">
        <v>26.241135597229004</v>
      </c>
      <c r="I44" s="38">
        <v>24.875649452209473</v>
      </c>
      <c r="J44" s="38">
        <v>25.706271171569824</v>
      </c>
      <c r="K44" s="38">
        <v>25.347978591918945</v>
      </c>
      <c r="L44" s="38">
        <v>40</v>
      </c>
      <c r="M44" s="38">
        <v>27.296962738037109</v>
      </c>
      <c r="N44" s="38">
        <v>36.314193725585938</v>
      </c>
      <c r="O44" s="38">
        <v>25.802491188049316</v>
      </c>
      <c r="P44" s="38">
        <v>34.580934524536133</v>
      </c>
      <c r="Q44" s="38">
        <v>25.733043670654297</v>
      </c>
      <c r="R44" s="38">
        <v>33.397859573364258</v>
      </c>
      <c r="S44" s="38">
        <v>25.854182243347168</v>
      </c>
      <c r="T44" s="38">
        <v>35.411907196044922</v>
      </c>
      <c r="U44" s="38">
        <v>25.66313648223877</v>
      </c>
      <c r="W44" s="64" t="s">
        <v>27</v>
      </c>
      <c r="X44" s="65">
        <v>1.453125</v>
      </c>
      <c r="Y44" s="65">
        <v>0.52553176879882812</v>
      </c>
      <c r="Z44" s="65">
        <v>1.3654861450195312</v>
      </c>
      <c r="AA44" s="65">
        <v>0.35829257965087891</v>
      </c>
      <c r="AB44" s="65">
        <v>12.703037261962891</v>
      </c>
      <c r="AC44" s="65">
        <v>10.511702537536621</v>
      </c>
      <c r="AD44" s="65">
        <v>8.8478908538818359</v>
      </c>
      <c r="AE44" s="65">
        <v>7.5436773300170898</v>
      </c>
      <c r="AF44" s="65">
        <v>9.7487707138061523</v>
      </c>
      <c r="AG44" s="66">
        <v>29.6</v>
      </c>
    </row>
    <row r="45" spans="1:33" s="37" customFormat="1" ht="17">
      <c r="A45" s="39" t="s">
        <v>27</v>
      </c>
      <c r="B45" s="39" t="s">
        <v>33</v>
      </c>
      <c r="C45" s="39" t="s">
        <v>22</v>
      </c>
      <c r="D45" s="38">
        <v>27.05721378326416</v>
      </c>
      <c r="E45" s="38">
        <v>24.499608039855957</v>
      </c>
      <c r="F45" s="38">
        <v>25.426690101623535</v>
      </c>
      <c r="G45" s="38">
        <v>24.57568359375</v>
      </c>
      <c r="H45" s="38">
        <v>25.735261917114258</v>
      </c>
      <c r="I45" s="38">
        <v>23.934678077697754</v>
      </c>
      <c r="J45" s="38">
        <v>25.734668731689453</v>
      </c>
      <c r="K45" s="38">
        <v>24.44382381439209</v>
      </c>
      <c r="L45" s="38">
        <v>40</v>
      </c>
      <c r="M45" s="38">
        <v>26.085307121276855</v>
      </c>
      <c r="N45" s="38">
        <v>37.546150207519531</v>
      </c>
      <c r="O45" s="38">
        <v>24.639548301696777</v>
      </c>
      <c r="P45" s="38">
        <v>34.383829116821289</v>
      </c>
      <c r="Q45" s="38">
        <v>24.625231742858887</v>
      </c>
      <c r="R45" s="38">
        <v>32.826231002807617</v>
      </c>
      <c r="S45" s="38">
        <v>24.686291694641113</v>
      </c>
      <c r="T45" s="38">
        <v>35.814350128173828</v>
      </c>
      <c r="U45" s="38">
        <v>24.549422264099121</v>
      </c>
      <c r="W45" s="67" t="s">
        <v>27</v>
      </c>
      <c r="X45" s="65">
        <v>2.5576057434082031</v>
      </c>
      <c r="Y45" s="65">
        <v>0.85100650787353516</v>
      </c>
      <c r="Z45" s="65">
        <v>1.8005838394165039</v>
      </c>
      <c r="AA45" s="65">
        <v>1.2908449172973633</v>
      </c>
      <c r="AB45" s="65">
        <v>13.914692878723145</v>
      </c>
      <c r="AC45" s="65">
        <v>12.906601905822754</v>
      </c>
      <c r="AD45" s="65">
        <v>9.7585973739624023</v>
      </c>
      <c r="AE45" s="65">
        <v>8.1399393081665039</v>
      </c>
      <c r="AF45" s="65">
        <v>11.264927864074707</v>
      </c>
      <c r="AG45" s="66">
        <v>17.7</v>
      </c>
    </row>
    <row r="46" spans="1:33" ht="15" customHeight="1">
      <c r="A46" s="31" t="s">
        <v>16</v>
      </c>
      <c r="B46" s="31">
        <v>63</v>
      </c>
      <c r="C46" s="31" t="s">
        <v>15</v>
      </c>
      <c r="D46" s="41">
        <v>29.15</v>
      </c>
      <c r="E46" s="41">
        <v>25.8</v>
      </c>
      <c r="F46" s="41">
        <v>27.66</v>
      </c>
      <c r="G46" s="41">
        <v>25.72</v>
      </c>
      <c r="H46" s="41">
        <v>29.25</v>
      </c>
      <c r="I46" s="41">
        <v>26</v>
      </c>
      <c r="J46" s="41">
        <v>25.63</v>
      </c>
      <c r="K46" s="41">
        <v>26.16</v>
      </c>
      <c r="L46" s="41">
        <v>40</v>
      </c>
      <c r="M46" s="41">
        <v>27.57</v>
      </c>
      <c r="N46" s="41">
        <v>37.9</v>
      </c>
      <c r="O46" s="41">
        <v>25.19</v>
      </c>
      <c r="P46" s="41">
        <v>35.369999999999997</v>
      </c>
      <c r="Q46" s="41">
        <v>25.01</v>
      </c>
      <c r="R46" s="41">
        <v>35.200000000000003</v>
      </c>
      <c r="S46" s="41">
        <v>25.16</v>
      </c>
      <c r="T46" s="41">
        <v>39.4</v>
      </c>
      <c r="U46" s="41">
        <v>25.12</v>
      </c>
      <c r="V46" s="33"/>
      <c r="W46" s="68" t="s">
        <v>16</v>
      </c>
      <c r="X46" s="69">
        <v>3.3499999999999979</v>
      </c>
      <c r="Y46" s="69">
        <v>1.9400000000000013</v>
      </c>
      <c r="Z46" s="69">
        <v>3.25</v>
      </c>
      <c r="AA46" s="69">
        <v>-0.53000000000000114</v>
      </c>
      <c r="AB46" s="69">
        <v>12.43</v>
      </c>
      <c r="AC46" s="69">
        <v>12.709999999999997</v>
      </c>
      <c r="AD46" s="69">
        <v>10.359999999999996</v>
      </c>
      <c r="AE46" s="69">
        <v>10.040000000000003</v>
      </c>
      <c r="AF46" s="69">
        <v>14.279999999999998</v>
      </c>
      <c r="AG46" s="70">
        <v>13.2</v>
      </c>
    </row>
    <row r="47" spans="1:33" ht="15" customHeight="1">
      <c r="A47" s="11" t="s">
        <v>16</v>
      </c>
      <c r="B47" s="11">
        <v>70</v>
      </c>
      <c r="C47" s="11" t="s">
        <v>15</v>
      </c>
      <c r="D47" s="12">
        <v>25.08</v>
      </c>
      <c r="E47" s="12">
        <v>26.99</v>
      </c>
      <c r="F47" s="12">
        <v>23.95</v>
      </c>
      <c r="G47" s="12">
        <v>26.9</v>
      </c>
      <c r="H47" s="12">
        <v>28.01</v>
      </c>
      <c r="I47" s="12">
        <v>26.89</v>
      </c>
      <c r="J47" s="12">
        <v>23.88</v>
      </c>
      <c r="K47" s="12">
        <v>27.19</v>
      </c>
      <c r="L47" s="12">
        <v>37.81</v>
      </c>
      <c r="M47" s="12">
        <v>28.65</v>
      </c>
      <c r="N47" s="12">
        <v>30.98</v>
      </c>
      <c r="O47" s="12">
        <v>26.27</v>
      </c>
      <c r="P47" s="12">
        <v>32.08</v>
      </c>
      <c r="Q47" s="12">
        <v>26.09</v>
      </c>
      <c r="R47" s="12">
        <v>29.37</v>
      </c>
      <c r="S47" s="12">
        <v>25.84</v>
      </c>
      <c r="T47" s="12">
        <v>33.090000000000003</v>
      </c>
      <c r="U47" s="12">
        <v>25.96</v>
      </c>
      <c r="W47" s="11" t="s">
        <v>16</v>
      </c>
      <c r="X47" s="71">
        <v>-1.9100000000000001</v>
      </c>
      <c r="Y47" s="71">
        <v>-2.9499999999999993</v>
      </c>
      <c r="Z47" s="71">
        <v>1.120000000000001</v>
      </c>
      <c r="AA47" s="71">
        <v>-3.3100000000000023</v>
      </c>
      <c r="AB47" s="71">
        <v>9.1600000000000037</v>
      </c>
      <c r="AC47" s="71">
        <v>4.7100000000000009</v>
      </c>
      <c r="AD47" s="71">
        <v>5.9899999999999984</v>
      </c>
      <c r="AE47" s="71">
        <v>3.5300000000000011</v>
      </c>
      <c r="AF47" s="71">
        <v>7.1300000000000026</v>
      </c>
      <c r="AG47" s="72">
        <v>92.6</v>
      </c>
    </row>
    <row r="48" spans="1:33" ht="15" customHeight="1">
      <c r="A48" s="11" t="s">
        <v>16</v>
      </c>
      <c r="B48" s="11">
        <v>75</v>
      </c>
      <c r="C48" s="11" t="s">
        <v>15</v>
      </c>
      <c r="D48" s="12">
        <v>26.76</v>
      </c>
      <c r="E48" s="12">
        <v>25.63</v>
      </c>
      <c r="F48" s="12">
        <v>25.66</v>
      </c>
      <c r="G48" s="12">
        <v>25.56</v>
      </c>
      <c r="H48" s="12">
        <v>28.04</v>
      </c>
      <c r="I48" s="12">
        <v>25.63</v>
      </c>
      <c r="J48" s="12">
        <v>24.33</v>
      </c>
      <c r="K48" s="12">
        <v>25.73</v>
      </c>
      <c r="L48" s="12">
        <v>35.32</v>
      </c>
      <c r="M48" s="12">
        <v>27.14</v>
      </c>
      <c r="N48" s="12">
        <v>30.54</v>
      </c>
      <c r="O48" s="12">
        <v>24.75</v>
      </c>
      <c r="P48" s="12">
        <v>28.42</v>
      </c>
      <c r="Q48" s="12">
        <v>24.7</v>
      </c>
      <c r="R48" s="12">
        <v>30.59</v>
      </c>
      <c r="S48" s="12">
        <v>24.93</v>
      </c>
      <c r="T48" s="12">
        <v>33.119999999999997</v>
      </c>
      <c r="U48" s="12">
        <v>24.76</v>
      </c>
      <c r="W48" s="11" t="s">
        <v>16</v>
      </c>
      <c r="X48" s="71">
        <v>1.1300000000000026</v>
      </c>
      <c r="Y48" s="71">
        <v>0.10000000000000142</v>
      </c>
      <c r="Z48" s="71">
        <v>2.41</v>
      </c>
      <c r="AA48" s="71">
        <v>-1.4000000000000021</v>
      </c>
      <c r="AB48" s="71">
        <v>8.18</v>
      </c>
      <c r="AC48" s="71">
        <v>5.7899999999999991</v>
      </c>
      <c r="AD48" s="71">
        <v>3.7200000000000024</v>
      </c>
      <c r="AE48" s="71">
        <v>5.66</v>
      </c>
      <c r="AF48" s="71">
        <v>8.3599999999999959</v>
      </c>
      <c r="AG48" s="72">
        <v>97.3</v>
      </c>
    </row>
    <row r="49" spans="1:33" ht="15" customHeight="1">
      <c r="A49" s="11" t="s">
        <v>16</v>
      </c>
      <c r="B49" s="11">
        <v>75</v>
      </c>
      <c r="C49" s="11" t="s">
        <v>15</v>
      </c>
      <c r="D49" s="12">
        <v>23.36</v>
      </c>
      <c r="E49" s="12">
        <v>27.37</v>
      </c>
      <c r="F49" s="12">
        <v>22.91</v>
      </c>
      <c r="G49" s="12">
        <v>27.35</v>
      </c>
      <c r="H49" s="12">
        <v>28.23</v>
      </c>
      <c r="I49" s="12">
        <v>27.1</v>
      </c>
      <c r="J49" s="12">
        <v>25.06</v>
      </c>
      <c r="K49" s="12">
        <v>27.4</v>
      </c>
      <c r="L49" s="12">
        <v>32.93</v>
      </c>
      <c r="M49" s="12">
        <v>28.94</v>
      </c>
      <c r="N49" s="12">
        <v>26.03</v>
      </c>
      <c r="O49" s="12">
        <v>25.97</v>
      </c>
      <c r="P49" s="12">
        <v>28.33</v>
      </c>
      <c r="Q49" s="12">
        <v>26.17</v>
      </c>
      <c r="R49" s="12">
        <v>26.44</v>
      </c>
      <c r="S49" s="12">
        <v>25.66</v>
      </c>
      <c r="T49" s="12">
        <v>28.74</v>
      </c>
      <c r="U49" s="12">
        <v>26</v>
      </c>
      <c r="W49" s="11" t="s">
        <v>16</v>
      </c>
      <c r="X49" s="71">
        <v>-4.0100000000000016</v>
      </c>
      <c r="Y49" s="71">
        <v>-4.4400000000000013</v>
      </c>
      <c r="Z49" s="71">
        <v>1.129999999999999</v>
      </c>
      <c r="AA49" s="71">
        <v>-2.34</v>
      </c>
      <c r="AB49" s="71">
        <v>3.9899999999999984</v>
      </c>
      <c r="AC49" s="71">
        <v>6.0000000000002274E-2</v>
      </c>
      <c r="AD49" s="71">
        <v>2.1599999999999966</v>
      </c>
      <c r="AE49" s="71">
        <v>0.78000000000000114</v>
      </c>
      <c r="AF49" s="71">
        <v>2.7399999999999984</v>
      </c>
      <c r="AG49" s="72">
        <v>99.9</v>
      </c>
    </row>
    <row r="50" spans="1:33" ht="15" customHeight="1">
      <c r="A50" s="11" t="s">
        <v>16</v>
      </c>
      <c r="B50" s="11">
        <v>77</v>
      </c>
      <c r="C50" s="11" t="s">
        <v>15</v>
      </c>
      <c r="D50" s="12">
        <v>26.83</v>
      </c>
      <c r="E50" s="12">
        <v>29.51</v>
      </c>
      <c r="F50" s="12">
        <v>25.97</v>
      </c>
      <c r="G50" s="12">
        <v>29.4</v>
      </c>
      <c r="H50" s="12">
        <v>29.49</v>
      </c>
      <c r="I50" s="12">
        <v>29.07</v>
      </c>
      <c r="J50" s="12">
        <v>23.08</v>
      </c>
      <c r="K50" s="12">
        <v>30.78</v>
      </c>
      <c r="L50" s="12">
        <v>33.67</v>
      </c>
      <c r="M50" s="12">
        <v>30.63</v>
      </c>
      <c r="N50" s="12">
        <v>28.29</v>
      </c>
      <c r="O50" s="12">
        <v>27.75</v>
      </c>
      <c r="P50" s="12">
        <v>27.43</v>
      </c>
      <c r="Q50" s="12">
        <v>27.79</v>
      </c>
      <c r="R50" s="12">
        <v>28.49</v>
      </c>
      <c r="S50" s="12">
        <v>27.4</v>
      </c>
      <c r="T50" s="12">
        <v>30.66</v>
      </c>
      <c r="U50" s="12">
        <v>27.73</v>
      </c>
      <c r="W50" s="11" t="s">
        <v>16</v>
      </c>
      <c r="X50" s="71">
        <v>-2.6800000000000033</v>
      </c>
      <c r="Y50" s="71">
        <v>-3.4299999999999997</v>
      </c>
      <c r="Z50" s="71">
        <v>0.41999999999999815</v>
      </c>
      <c r="AA50" s="71">
        <v>-7.7000000000000028</v>
      </c>
      <c r="AB50" s="71">
        <v>3.0400000000000027</v>
      </c>
      <c r="AC50" s="71">
        <v>0.53999999999999915</v>
      </c>
      <c r="AD50" s="71">
        <v>-0.35999999999999943</v>
      </c>
      <c r="AE50" s="71">
        <v>1.0899999999999999</v>
      </c>
      <c r="AF50" s="71">
        <v>2.9299999999999997</v>
      </c>
      <c r="AG50" s="72">
        <v>100</v>
      </c>
    </row>
    <row r="51" spans="1:33" ht="15" customHeight="1">
      <c r="A51" s="11" t="s">
        <v>16</v>
      </c>
      <c r="B51" s="11">
        <v>73</v>
      </c>
      <c r="C51" s="11" t="s">
        <v>15</v>
      </c>
      <c r="D51" s="12">
        <v>25.53</v>
      </c>
      <c r="E51" s="12">
        <v>27.32</v>
      </c>
      <c r="F51" s="12">
        <v>24.96</v>
      </c>
      <c r="G51" s="12">
        <v>27.27</v>
      </c>
      <c r="H51" s="12">
        <v>27.58</v>
      </c>
      <c r="I51" s="12">
        <v>27.02</v>
      </c>
      <c r="J51" s="12">
        <v>24.84</v>
      </c>
      <c r="K51" s="12">
        <v>27</v>
      </c>
      <c r="L51" s="12">
        <v>36.950000000000003</v>
      </c>
      <c r="M51" s="12">
        <v>28.97</v>
      </c>
      <c r="N51" s="12">
        <v>29.27</v>
      </c>
      <c r="O51" s="12">
        <v>26.52</v>
      </c>
      <c r="P51" s="12">
        <v>30.77</v>
      </c>
      <c r="Q51" s="12">
        <v>26.4</v>
      </c>
      <c r="R51" s="12">
        <v>29.37</v>
      </c>
      <c r="S51" s="12">
        <v>26.3</v>
      </c>
      <c r="T51" s="12">
        <v>32.35</v>
      </c>
      <c r="U51" s="12">
        <v>26.44</v>
      </c>
      <c r="W51" s="11" t="s">
        <v>16</v>
      </c>
      <c r="X51" s="71">
        <v>-1.7899999999999991</v>
      </c>
      <c r="Y51" s="71">
        <v>-2.3099999999999987</v>
      </c>
      <c r="Z51" s="71">
        <v>0.55999999999999872</v>
      </c>
      <c r="AA51" s="71">
        <v>-2.16</v>
      </c>
      <c r="AB51" s="71">
        <v>7.980000000000004</v>
      </c>
      <c r="AC51" s="71">
        <v>2.75</v>
      </c>
      <c r="AD51" s="71">
        <v>4.370000000000001</v>
      </c>
      <c r="AE51" s="71">
        <v>3.0700000000000003</v>
      </c>
      <c r="AF51" s="71">
        <v>5.91</v>
      </c>
      <c r="AG51" s="72">
        <v>97.6</v>
      </c>
    </row>
    <row r="52" spans="1:33" ht="15" customHeight="1">
      <c r="A52" s="11" t="s">
        <v>16</v>
      </c>
      <c r="B52" s="11">
        <v>73</v>
      </c>
      <c r="C52" s="11" t="s">
        <v>15</v>
      </c>
      <c r="D52" s="12">
        <v>27.5</v>
      </c>
      <c r="E52" s="12">
        <v>27.64</v>
      </c>
      <c r="F52" s="12">
        <v>26.96</v>
      </c>
      <c r="G52" s="12">
        <v>27.66</v>
      </c>
      <c r="H52" s="12">
        <v>25.99</v>
      </c>
      <c r="I52" s="12">
        <v>26.98</v>
      </c>
      <c r="J52" s="12">
        <v>24.7</v>
      </c>
      <c r="K52" s="12">
        <v>27.14</v>
      </c>
      <c r="L52" s="12">
        <v>33.049999999999997</v>
      </c>
      <c r="M52" s="12">
        <v>29.54</v>
      </c>
      <c r="N52" s="12">
        <v>31.69</v>
      </c>
      <c r="O52" s="12">
        <v>26.85</v>
      </c>
      <c r="P52" s="12">
        <v>30.7</v>
      </c>
      <c r="Q52" s="12">
        <v>26.65</v>
      </c>
      <c r="R52" s="12">
        <v>31.78</v>
      </c>
      <c r="S52" s="12">
        <v>26.78</v>
      </c>
      <c r="T52" s="12">
        <v>34.28</v>
      </c>
      <c r="U52" s="12">
        <v>26.79</v>
      </c>
      <c r="W52" s="11" t="s">
        <v>16</v>
      </c>
      <c r="X52" s="71">
        <v>-0.14000000000000057</v>
      </c>
      <c r="Y52" s="71">
        <v>-0.69999999999999929</v>
      </c>
      <c r="Z52" s="71">
        <v>-0.99000000000000199</v>
      </c>
      <c r="AA52" s="71">
        <v>-2.4400000000000013</v>
      </c>
      <c r="AB52" s="71">
        <v>3.509999999999998</v>
      </c>
      <c r="AC52" s="71">
        <v>4.84</v>
      </c>
      <c r="AD52" s="71">
        <v>4.0500000000000007</v>
      </c>
      <c r="AE52" s="71">
        <v>5</v>
      </c>
      <c r="AF52" s="71">
        <v>7.490000000000002</v>
      </c>
      <c r="AG52" s="72">
        <v>99.5</v>
      </c>
    </row>
    <row r="53" spans="1:33" ht="15" customHeight="1">
      <c r="A53" s="11" t="s">
        <v>16</v>
      </c>
      <c r="B53" s="11">
        <v>76</v>
      </c>
      <c r="C53" s="11" t="s">
        <v>15</v>
      </c>
      <c r="D53" s="12">
        <v>25.65</v>
      </c>
      <c r="E53" s="12">
        <v>28.16</v>
      </c>
      <c r="F53" s="12">
        <v>24.86</v>
      </c>
      <c r="G53" s="12">
        <v>28</v>
      </c>
      <c r="H53" s="12">
        <v>26.75</v>
      </c>
      <c r="I53" s="12">
        <v>27.66</v>
      </c>
      <c r="J53" s="12">
        <v>23.83</v>
      </c>
      <c r="K53" s="12">
        <v>27.67</v>
      </c>
      <c r="L53" s="12">
        <v>35.35</v>
      </c>
      <c r="M53" s="12">
        <v>29.82</v>
      </c>
      <c r="N53" s="12">
        <v>28.99</v>
      </c>
      <c r="O53" s="12">
        <v>27.17</v>
      </c>
      <c r="P53" s="12">
        <v>29.15</v>
      </c>
      <c r="Q53" s="12">
        <v>27.01</v>
      </c>
      <c r="R53" s="12">
        <v>29.03</v>
      </c>
      <c r="S53" s="12">
        <v>26.77</v>
      </c>
      <c r="T53" s="12">
        <v>31.87</v>
      </c>
      <c r="U53" s="12">
        <v>26.95</v>
      </c>
      <c r="W53" s="11" t="s">
        <v>16</v>
      </c>
      <c r="X53" s="71">
        <v>-2.5100000000000016</v>
      </c>
      <c r="Y53" s="71">
        <v>-3.1400000000000006</v>
      </c>
      <c r="Z53" s="71">
        <v>-0.91000000000000014</v>
      </c>
      <c r="AA53" s="71">
        <v>-3.8400000000000034</v>
      </c>
      <c r="AB53" s="71">
        <v>5.5300000000000011</v>
      </c>
      <c r="AC53" s="71">
        <v>1.8199999999999967</v>
      </c>
      <c r="AD53" s="71">
        <v>2.139999999999997</v>
      </c>
      <c r="AE53" s="71">
        <v>2.2600000000000016</v>
      </c>
      <c r="AF53" s="71">
        <v>4.9200000000000017</v>
      </c>
      <c r="AG53" s="72">
        <v>99.8</v>
      </c>
    </row>
    <row r="54" spans="1:33" ht="15" customHeight="1">
      <c r="A54" s="11" t="s">
        <v>16</v>
      </c>
      <c r="B54" s="11">
        <v>78</v>
      </c>
      <c r="C54" s="11" t="s">
        <v>15</v>
      </c>
      <c r="D54" s="12">
        <v>26.83</v>
      </c>
      <c r="E54" s="12">
        <v>26.48</v>
      </c>
      <c r="F54" s="12">
        <v>26.13</v>
      </c>
      <c r="G54" s="12">
        <v>26.44</v>
      </c>
      <c r="H54" s="12">
        <v>26.89</v>
      </c>
      <c r="I54" s="12">
        <v>26</v>
      </c>
      <c r="J54" s="12">
        <v>25.25</v>
      </c>
      <c r="K54" s="12">
        <v>26.27</v>
      </c>
      <c r="L54" s="12">
        <v>39.75</v>
      </c>
      <c r="M54" s="12">
        <v>28.26</v>
      </c>
      <c r="N54" s="12">
        <v>32.61</v>
      </c>
      <c r="O54" s="12">
        <v>25.96</v>
      </c>
      <c r="P54" s="12">
        <v>34.14</v>
      </c>
      <c r="Q54" s="12">
        <v>25.88</v>
      </c>
      <c r="R54" s="12">
        <v>32.35</v>
      </c>
      <c r="S54" s="12">
        <v>26.01</v>
      </c>
      <c r="T54" s="12">
        <v>36.18</v>
      </c>
      <c r="U54" s="12">
        <v>25.94</v>
      </c>
      <c r="W54" s="11" t="s">
        <v>16</v>
      </c>
      <c r="X54" s="71">
        <v>0.34999999999999787</v>
      </c>
      <c r="Y54" s="71">
        <v>-0.31000000000000227</v>
      </c>
      <c r="Z54" s="71">
        <v>0.89000000000000057</v>
      </c>
      <c r="AA54" s="71">
        <v>-1.0199999999999996</v>
      </c>
      <c r="AB54" s="71">
        <v>11.489999999999998</v>
      </c>
      <c r="AC54" s="71">
        <v>6.6499999999999986</v>
      </c>
      <c r="AD54" s="71">
        <v>8.2600000000000016</v>
      </c>
      <c r="AE54" s="71">
        <v>6.34</v>
      </c>
      <c r="AF54" s="71">
        <v>10.239999999999998</v>
      </c>
      <c r="AG54" s="72">
        <v>49</v>
      </c>
    </row>
    <row r="55" spans="1:33" ht="15" customHeight="1">
      <c r="A55" s="11" t="s">
        <v>16</v>
      </c>
      <c r="B55" s="11">
        <v>78</v>
      </c>
      <c r="C55" s="11" t="s">
        <v>15</v>
      </c>
      <c r="D55" s="12">
        <v>24.33</v>
      </c>
      <c r="E55" s="12">
        <v>27.25</v>
      </c>
      <c r="F55" s="12">
        <v>23.9</v>
      </c>
      <c r="G55" s="12">
        <v>27.07</v>
      </c>
      <c r="H55" s="12">
        <v>26.38</v>
      </c>
      <c r="I55" s="12">
        <v>26.7</v>
      </c>
      <c r="J55" s="12">
        <v>24.46</v>
      </c>
      <c r="K55" s="12">
        <v>27.03</v>
      </c>
      <c r="L55" s="12">
        <v>36.08</v>
      </c>
      <c r="M55" s="12">
        <v>28.85</v>
      </c>
      <c r="N55" s="12">
        <v>28.86</v>
      </c>
      <c r="O55" s="12">
        <v>26.31</v>
      </c>
      <c r="P55" s="12">
        <v>31.78</v>
      </c>
      <c r="Q55" s="12">
        <v>26.37</v>
      </c>
      <c r="R55" s="12">
        <v>28.87</v>
      </c>
      <c r="S55" s="12">
        <v>26.06</v>
      </c>
      <c r="T55" s="12">
        <v>32.119999999999997</v>
      </c>
      <c r="U55" s="12">
        <v>26.26</v>
      </c>
      <c r="W55" s="11" t="s">
        <v>16</v>
      </c>
      <c r="X55" s="71">
        <v>-2.9200000000000017</v>
      </c>
      <c r="Y55" s="71">
        <v>-3.1700000000000017</v>
      </c>
      <c r="Z55" s="71">
        <v>-0.32000000000000028</v>
      </c>
      <c r="AA55" s="71">
        <v>-2.5700000000000003</v>
      </c>
      <c r="AB55" s="71">
        <v>7.2299999999999969</v>
      </c>
      <c r="AC55" s="71">
        <v>2.5500000000000007</v>
      </c>
      <c r="AD55" s="71">
        <v>5.41</v>
      </c>
      <c r="AE55" s="71">
        <v>2.8100000000000023</v>
      </c>
      <c r="AF55" s="71">
        <v>5.8599999999999959</v>
      </c>
      <c r="AG55" s="72">
        <v>97.4</v>
      </c>
    </row>
    <row r="56" spans="1:33" s="13" customFormat="1" ht="15" customHeight="1">
      <c r="A56" s="15" t="s">
        <v>21</v>
      </c>
      <c r="B56" s="15">
        <v>72</v>
      </c>
      <c r="C56" s="15" t="s">
        <v>22</v>
      </c>
      <c r="D56" s="23">
        <v>25.870065689086914</v>
      </c>
      <c r="E56" s="23">
        <v>26.011811256408691</v>
      </c>
      <c r="F56" s="23">
        <v>26.241756439208984</v>
      </c>
      <c r="G56" s="23">
        <v>25.92091178894043</v>
      </c>
      <c r="H56" s="23">
        <v>24.919331550598145</v>
      </c>
      <c r="I56" s="23">
        <v>24.94659423828125</v>
      </c>
      <c r="J56" s="23">
        <v>25.870065689086914</v>
      </c>
      <c r="K56" s="23">
        <v>25.702566146850586</v>
      </c>
      <c r="L56" s="16">
        <v>40</v>
      </c>
      <c r="M56" s="16">
        <v>27.576513290405273</v>
      </c>
      <c r="N56" s="16">
        <v>35.594573974609375</v>
      </c>
      <c r="O56" s="16">
        <v>25.988544464111328</v>
      </c>
      <c r="P56" s="16">
        <v>31.781035423278809</v>
      </c>
      <c r="Q56" s="16">
        <v>25.95435619354248</v>
      </c>
      <c r="R56" s="16">
        <v>32.520465850830078</v>
      </c>
      <c r="S56" s="16">
        <v>26.061099052429199</v>
      </c>
      <c r="T56" s="16">
        <v>35.079870223999023</v>
      </c>
      <c r="U56" s="16">
        <v>25.939413070678711</v>
      </c>
      <c r="V56" s="10"/>
      <c r="W56" s="15" t="s">
        <v>21</v>
      </c>
      <c r="X56" s="71">
        <v>-0.14174556732177734</v>
      </c>
      <c r="Y56" s="71">
        <v>0.32084465026855469</v>
      </c>
      <c r="Z56" s="71">
        <v>-2.7262687683105469E-2</v>
      </c>
      <c r="AA56" s="71">
        <v>0.16749954223632812</v>
      </c>
      <c r="AB56" s="71">
        <v>12.423486709594727</v>
      </c>
      <c r="AC56" s="71">
        <v>9.6060295104980469</v>
      </c>
      <c r="AD56" s="71">
        <v>5.8266792297363281</v>
      </c>
      <c r="AE56" s="71">
        <v>6.4593667984008789</v>
      </c>
      <c r="AF56" s="71">
        <v>9.1404571533203125</v>
      </c>
      <c r="AG56" s="72">
        <v>79</v>
      </c>
    </row>
    <row r="57" spans="1:33" s="13" customFormat="1" ht="15" customHeight="1">
      <c r="A57" s="15" t="s">
        <v>21</v>
      </c>
      <c r="B57" s="15">
        <v>74</v>
      </c>
      <c r="C57" s="15" t="s">
        <v>22</v>
      </c>
      <c r="D57" s="16">
        <v>26.604811668395996</v>
      </c>
      <c r="E57" s="16">
        <v>26.947365760803223</v>
      </c>
      <c r="F57" s="16">
        <v>27.397255897521973</v>
      </c>
      <c r="G57" s="16">
        <v>27.06330394744873</v>
      </c>
      <c r="H57" s="16">
        <v>26.294977188110352</v>
      </c>
      <c r="I57" s="16">
        <v>26.045433044433594</v>
      </c>
      <c r="J57" s="16">
        <v>26.604811668395996</v>
      </c>
      <c r="K57" s="16">
        <v>26.694962501525879</v>
      </c>
      <c r="L57" s="16">
        <v>40</v>
      </c>
      <c r="M57" s="16">
        <v>28.744147300720215</v>
      </c>
      <c r="N57" s="16">
        <v>36.687490463256836</v>
      </c>
      <c r="O57" s="16">
        <v>27.133004188537598</v>
      </c>
      <c r="P57" s="16">
        <v>33.330598831176758</v>
      </c>
      <c r="Q57" s="16">
        <v>27.012598991394043</v>
      </c>
      <c r="R57" s="16">
        <v>33.604812622070312</v>
      </c>
      <c r="S57" s="16">
        <v>27.108510971069336</v>
      </c>
      <c r="T57" s="16">
        <v>35.912914276123047</v>
      </c>
      <c r="U57" s="16">
        <v>26.987540245056152</v>
      </c>
      <c r="V57" s="10"/>
      <c r="W57" s="15" t="s">
        <v>21</v>
      </c>
      <c r="X57" s="71">
        <v>-0.34255409240722656</v>
      </c>
      <c r="Y57" s="71">
        <v>0.33395195007324219</v>
      </c>
      <c r="Z57" s="71">
        <v>0.24954414367675781</v>
      </c>
      <c r="AA57" s="71">
        <v>-9.0150833129882812E-2</v>
      </c>
      <c r="AB57" s="71">
        <v>11.255852699279785</v>
      </c>
      <c r="AC57" s="71">
        <v>9.5544862747192383</v>
      </c>
      <c r="AD57" s="71">
        <v>6.3179998397827148</v>
      </c>
      <c r="AE57" s="71">
        <v>6.4963016510009766</v>
      </c>
      <c r="AF57" s="71">
        <v>8.9253740310668945</v>
      </c>
      <c r="AG57" s="72">
        <v>78.8</v>
      </c>
    </row>
    <row r="58" spans="1:33" s="13" customFormat="1" ht="15" customHeight="1">
      <c r="A58" s="15" t="s">
        <v>21</v>
      </c>
      <c r="B58" s="15">
        <v>77</v>
      </c>
      <c r="C58" s="15" t="s">
        <v>22</v>
      </c>
      <c r="D58" s="16">
        <v>25.229777336120605</v>
      </c>
      <c r="E58" s="16">
        <v>26.81120777130127</v>
      </c>
      <c r="F58" s="16">
        <v>26.388439178466797</v>
      </c>
      <c r="G58" s="16">
        <v>26.921492576599121</v>
      </c>
      <c r="H58" s="16">
        <v>25.401415824890137</v>
      </c>
      <c r="I58" s="16">
        <v>25.659854888916016</v>
      </c>
      <c r="J58" s="16">
        <v>25.229777336120605</v>
      </c>
      <c r="K58" s="16">
        <v>26.266777038574219</v>
      </c>
      <c r="L58" s="16">
        <v>39.263565063476562</v>
      </c>
      <c r="M58" s="16">
        <v>28.57346248626709</v>
      </c>
      <c r="N58" s="16">
        <v>34.301013946533203</v>
      </c>
      <c r="O58" s="16">
        <v>26.916661262512207</v>
      </c>
      <c r="P58" s="16">
        <v>32.005117416381836</v>
      </c>
      <c r="Q58" s="16">
        <v>26.918875694274902</v>
      </c>
      <c r="R58" s="16">
        <v>32.178127288818359</v>
      </c>
      <c r="S58" s="16">
        <v>26.959295272827148</v>
      </c>
      <c r="T58" s="16">
        <v>34.025482177734375</v>
      </c>
      <c r="U58" s="16">
        <v>26.85655403137207</v>
      </c>
      <c r="V58" s="10"/>
      <c r="W58" s="15" t="s">
        <v>21</v>
      </c>
      <c r="X58" s="71">
        <v>-1.5814304351806641</v>
      </c>
      <c r="Y58" s="71">
        <v>-0.53305339813232422</v>
      </c>
      <c r="Z58" s="71">
        <v>-0.25843906402587891</v>
      </c>
      <c r="AA58" s="71">
        <v>-1.0369997024536133</v>
      </c>
      <c r="AB58" s="71">
        <v>10.690102577209473</v>
      </c>
      <c r="AC58" s="71">
        <v>7.3843526840209961</v>
      </c>
      <c r="AD58" s="71">
        <v>5.0862417221069336</v>
      </c>
      <c r="AE58" s="71">
        <v>5.2188320159912109</v>
      </c>
      <c r="AF58" s="71">
        <v>7.1689281463623047</v>
      </c>
      <c r="AG58" s="72">
        <v>90</v>
      </c>
    </row>
    <row r="59" spans="1:33" s="13" customFormat="1" ht="15" customHeight="1">
      <c r="A59" s="42" t="s">
        <v>21</v>
      </c>
      <c r="B59" s="42">
        <v>77</v>
      </c>
      <c r="C59" s="42" t="s">
        <v>22</v>
      </c>
      <c r="D59" s="43">
        <v>27.933792114257812</v>
      </c>
      <c r="E59" s="43">
        <v>26.93841552734375</v>
      </c>
      <c r="F59" s="43">
        <v>25.753476142883301</v>
      </c>
      <c r="G59" s="43">
        <v>27.035662651062012</v>
      </c>
      <c r="H59" s="43">
        <v>31.827373504638672</v>
      </c>
      <c r="I59" s="43">
        <v>27.033048629760742</v>
      </c>
      <c r="J59" s="43">
        <v>27.933792114257812</v>
      </c>
      <c r="K59" s="43">
        <v>26.932591438293457</v>
      </c>
      <c r="L59" s="43">
        <v>40</v>
      </c>
      <c r="M59" s="43">
        <v>28.761073112487793</v>
      </c>
      <c r="N59" s="43">
        <v>33.484333038330078</v>
      </c>
      <c r="O59" s="43">
        <v>26.979401588439941</v>
      </c>
      <c r="P59" s="43">
        <v>36.806303024291992</v>
      </c>
      <c r="Q59" s="43">
        <v>27.03752613067627</v>
      </c>
      <c r="R59" s="43">
        <v>30.729473114013672</v>
      </c>
      <c r="S59" s="43">
        <v>26.962040901184082</v>
      </c>
      <c r="T59" s="43">
        <v>35.98175048828125</v>
      </c>
      <c r="U59" s="43">
        <v>27.146992683410645</v>
      </c>
      <c r="V59" s="33"/>
      <c r="W59" s="44" t="s">
        <v>21</v>
      </c>
      <c r="X59" s="69">
        <v>0.9953765869140625</v>
      </c>
      <c r="Y59" s="69">
        <v>-1.2821865081787109</v>
      </c>
      <c r="Z59" s="69">
        <v>4.7943248748779297</v>
      </c>
      <c r="AA59" s="69">
        <v>1.0012006759643555</v>
      </c>
      <c r="AB59" s="69">
        <v>11.238926887512207</v>
      </c>
      <c r="AC59" s="69">
        <v>6.5049314498901367</v>
      </c>
      <c r="AD59" s="69">
        <v>9.7687768936157227</v>
      </c>
      <c r="AE59" s="69">
        <v>3.7674322128295898</v>
      </c>
      <c r="AF59" s="69">
        <v>8.8347578048706055</v>
      </c>
      <c r="AG59" s="70">
        <v>35.9</v>
      </c>
    </row>
    <row r="60" spans="1:33" s="13" customFormat="1" ht="15" customHeight="1">
      <c r="A60" s="15" t="s">
        <v>21</v>
      </c>
      <c r="B60" s="15">
        <v>79</v>
      </c>
      <c r="C60" s="15" t="s">
        <v>22</v>
      </c>
      <c r="D60" s="16">
        <v>27.078451156616211</v>
      </c>
      <c r="E60" s="16">
        <v>27.08153247833252</v>
      </c>
      <c r="F60" s="16">
        <v>26.36106014251709</v>
      </c>
      <c r="G60" s="16">
        <v>26.877161026000977</v>
      </c>
      <c r="H60" s="16">
        <v>25.947898864746094</v>
      </c>
      <c r="I60" s="16">
        <v>26.056036949157715</v>
      </c>
      <c r="J60" s="16">
        <v>27.078451156616211</v>
      </c>
      <c r="K60" s="16">
        <v>26.848450660705566</v>
      </c>
      <c r="L60" s="16">
        <v>39.869161605834961</v>
      </c>
      <c r="M60" s="16">
        <v>28.826680183410645</v>
      </c>
      <c r="N60" s="16">
        <v>34.821403503417969</v>
      </c>
      <c r="O60" s="16">
        <v>27.085169792175293</v>
      </c>
      <c r="P60" s="16">
        <v>33.916423797607422</v>
      </c>
      <c r="Q60" s="16">
        <v>27.06486988067627</v>
      </c>
      <c r="R60" s="16">
        <v>31.92948055267334</v>
      </c>
      <c r="S60" s="16">
        <v>27.098247528076172</v>
      </c>
      <c r="T60" s="16">
        <v>36.26801872253418</v>
      </c>
      <c r="U60" s="16">
        <v>27.202700614929199</v>
      </c>
      <c r="V60" s="10"/>
      <c r="W60" s="15" t="s">
        <v>21</v>
      </c>
      <c r="X60" s="71">
        <v>-3.0813217163085938E-3</v>
      </c>
      <c r="Y60" s="71">
        <v>-0.51610088348388672</v>
      </c>
      <c r="Z60" s="71">
        <v>-0.10813808441162109</v>
      </c>
      <c r="AA60" s="71">
        <v>0.23000049591064453</v>
      </c>
      <c r="AB60" s="71">
        <v>11.042481422424316</v>
      </c>
      <c r="AC60" s="71">
        <v>7.7362337112426758</v>
      </c>
      <c r="AD60" s="71">
        <v>6.8515539169311523</v>
      </c>
      <c r="AE60" s="71">
        <v>4.831233024597168</v>
      </c>
      <c r="AF60" s="71">
        <v>9.0653181076049805</v>
      </c>
      <c r="AG60" s="72">
        <v>80.400000000000006</v>
      </c>
    </row>
    <row r="61" spans="1:33" s="13" customFormat="1" ht="15" customHeight="1">
      <c r="A61" s="15" t="s">
        <v>21</v>
      </c>
      <c r="B61" s="15">
        <v>79</v>
      </c>
      <c r="C61" s="15" t="s">
        <v>22</v>
      </c>
      <c r="D61" s="16">
        <v>27.409048080444336</v>
      </c>
      <c r="E61" s="16">
        <v>28.694740295410156</v>
      </c>
      <c r="F61" s="16">
        <v>26.731234550476074</v>
      </c>
      <c r="G61" s="16">
        <v>28.552369117736816</v>
      </c>
      <c r="H61" s="16">
        <v>26.92625617980957</v>
      </c>
      <c r="I61" s="16">
        <v>27.809292793273926</v>
      </c>
      <c r="J61" s="16">
        <v>25.881397247314453</v>
      </c>
      <c r="K61" s="16">
        <v>27.876277923583984</v>
      </c>
      <c r="L61" s="16">
        <v>37.717214584350586</v>
      </c>
      <c r="M61" s="16">
        <v>30.711934089660645</v>
      </c>
      <c r="N61" s="16">
        <v>33.649757385253906</v>
      </c>
      <c r="O61" s="16">
        <v>28.864825248718262</v>
      </c>
      <c r="P61" s="16">
        <v>32.456039428710938</v>
      </c>
      <c r="Q61" s="16">
        <v>28.750565528869629</v>
      </c>
      <c r="R61" s="16">
        <v>30.960238456726074</v>
      </c>
      <c r="S61" s="16">
        <v>28.471607208251953</v>
      </c>
      <c r="T61" s="16">
        <v>33.803977966308594</v>
      </c>
      <c r="U61" s="16">
        <v>28.823869705200195</v>
      </c>
      <c r="V61" s="10"/>
      <c r="W61" s="15" t="s">
        <v>21</v>
      </c>
      <c r="X61" s="71">
        <v>-1.2856922149658203</v>
      </c>
      <c r="Y61" s="71">
        <v>-1.8211345672607422</v>
      </c>
      <c r="Z61" s="71">
        <v>-0.88303661346435547</v>
      </c>
      <c r="AA61" s="71">
        <v>-1.9948806762695312</v>
      </c>
      <c r="AB61" s="71">
        <v>7.0052804946899414</v>
      </c>
      <c r="AC61" s="71">
        <v>4.7849321365356445</v>
      </c>
      <c r="AD61" s="71">
        <v>3.7054738998413086</v>
      </c>
      <c r="AE61" s="71">
        <v>2.4886312484741211</v>
      </c>
      <c r="AF61" s="71">
        <v>4.9801082611083984</v>
      </c>
      <c r="AG61" s="72">
        <v>98.8</v>
      </c>
    </row>
    <row r="62" spans="1:33" s="13" customFormat="1" ht="15" customHeight="1">
      <c r="A62" s="15" t="s">
        <v>21</v>
      </c>
      <c r="B62" s="15">
        <v>79</v>
      </c>
      <c r="C62" s="15" t="s">
        <v>22</v>
      </c>
      <c r="D62" s="16">
        <v>26.250125885009766</v>
      </c>
      <c r="E62" s="16">
        <v>25.949980735778809</v>
      </c>
      <c r="F62" s="16">
        <v>24.544410705566406</v>
      </c>
      <c r="G62" s="16">
        <v>25.957157135009766</v>
      </c>
      <c r="H62" s="16">
        <v>23.483121871948242</v>
      </c>
      <c r="I62" s="16">
        <v>25.058533668518066</v>
      </c>
      <c r="J62" s="16">
        <v>23.710227012634277</v>
      </c>
      <c r="K62" s="16">
        <v>25.287683486938477</v>
      </c>
      <c r="L62" s="16">
        <v>35.129922866821289</v>
      </c>
      <c r="M62" s="16">
        <v>27.916190147399902</v>
      </c>
      <c r="N62" s="16">
        <v>32.066211700439453</v>
      </c>
      <c r="O62" s="16">
        <v>26.011377334594727</v>
      </c>
      <c r="P62" s="16">
        <v>29.612837791442871</v>
      </c>
      <c r="Q62" s="16">
        <v>26.001930236816406</v>
      </c>
      <c r="R62" s="16">
        <v>29.540103912353516</v>
      </c>
      <c r="S62" s="16">
        <v>25.871405601501465</v>
      </c>
      <c r="T62" s="16">
        <v>31.667819023132324</v>
      </c>
      <c r="U62" s="16">
        <v>25.954428672790527</v>
      </c>
      <c r="V62" s="10"/>
      <c r="W62" s="15" t="s">
        <v>21</v>
      </c>
      <c r="X62" s="71">
        <v>0.30014514923095703</v>
      </c>
      <c r="Y62" s="71">
        <v>-1.4127464294433594</v>
      </c>
      <c r="Z62" s="71">
        <v>-1.5754117965698242</v>
      </c>
      <c r="AA62" s="71">
        <v>-1.5774564743041992</v>
      </c>
      <c r="AB62" s="71">
        <v>7.2137327194213867</v>
      </c>
      <c r="AC62" s="71">
        <v>6.0548343658447266</v>
      </c>
      <c r="AD62" s="71">
        <v>3.6109075546264648</v>
      </c>
      <c r="AE62" s="71">
        <v>3.6686983108520508</v>
      </c>
      <c r="AF62" s="71">
        <v>5.7133903503417969</v>
      </c>
      <c r="AG62" s="72">
        <v>98.9</v>
      </c>
    </row>
    <row r="63" spans="1:33" s="13" customFormat="1" ht="15" customHeight="1">
      <c r="A63" s="15" t="s">
        <v>21</v>
      </c>
      <c r="B63" s="15">
        <v>80</v>
      </c>
      <c r="C63" s="15" t="s">
        <v>22</v>
      </c>
      <c r="D63" s="16">
        <v>26.304183959960938</v>
      </c>
      <c r="E63" s="16">
        <v>26.977445602416992</v>
      </c>
      <c r="F63" s="16">
        <v>25.778803825378418</v>
      </c>
      <c r="G63" s="16">
        <v>26.953971862792969</v>
      </c>
      <c r="H63" s="16">
        <v>26.283920288085938</v>
      </c>
      <c r="I63" s="16">
        <v>26.14593505859375</v>
      </c>
      <c r="J63" s="16">
        <v>25.993157386779785</v>
      </c>
      <c r="K63" s="16">
        <v>26.679010391235352</v>
      </c>
      <c r="L63" s="16">
        <v>39.07769775390625</v>
      </c>
      <c r="M63" s="16">
        <v>28.973058700561523</v>
      </c>
      <c r="N63" s="16">
        <v>33.201923370361328</v>
      </c>
      <c r="O63" s="16">
        <v>27.16057014465332</v>
      </c>
      <c r="P63" s="16">
        <v>32.114469528198242</v>
      </c>
      <c r="Q63" s="16">
        <v>27.07334041595459</v>
      </c>
      <c r="R63" s="16">
        <v>30.761466979980469</v>
      </c>
      <c r="S63" s="16">
        <v>26.448197364807129</v>
      </c>
      <c r="T63" s="16">
        <v>34.060911178588867</v>
      </c>
      <c r="U63" s="16">
        <v>26.99288272857666</v>
      </c>
      <c r="V63" s="10"/>
      <c r="W63" s="15" t="s">
        <v>21</v>
      </c>
      <c r="X63" s="71">
        <v>-0.67326164245605469</v>
      </c>
      <c r="Y63" s="71">
        <v>-1.1751680374145508</v>
      </c>
      <c r="Z63" s="71">
        <v>0.1379852294921875</v>
      </c>
      <c r="AA63" s="71">
        <v>-0.68585300445556641</v>
      </c>
      <c r="AB63" s="71">
        <v>10.104639053344727</v>
      </c>
      <c r="AC63" s="71">
        <v>6.0413532257080078</v>
      </c>
      <c r="AD63" s="71">
        <v>5.0411291122436523</v>
      </c>
      <c r="AE63" s="71">
        <v>4.3132696151733398</v>
      </c>
      <c r="AF63" s="71">
        <v>7.068028450012207</v>
      </c>
      <c r="AG63" s="72">
        <v>93.5</v>
      </c>
    </row>
    <row r="64" spans="1:33" s="13" customFormat="1" ht="15" customHeight="1">
      <c r="A64" s="15" t="s">
        <v>21</v>
      </c>
      <c r="B64" s="15">
        <v>81</v>
      </c>
      <c r="C64" s="15" t="s">
        <v>22</v>
      </c>
      <c r="D64" s="16">
        <v>26.626113891601562</v>
      </c>
      <c r="E64" s="16">
        <v>26.699151039123535</v>
      </c>
      <c r="F64" s="16">
        <v>26.175350189208984</v>
      </c>
      <c r="G64" s="16">
        <v>26.717814445495605</v>
      </c>
      <c r="H64" s="16">
        <v>25.82192325592041</v>
      </c>
      <c r="I64" s="16">
        <v>25.767731666564941</v>
      </c>
      <c r="J64" s="16">
        <v>25.257304191589355</v>
      </c>
      <c r="K64" s="16">
        <v>26.171638488769531</v>
      </c>
      <c r="L64" s="16">
        <v>38.146656036376953</v>
      </c>
      <c r="M64" s="16">
        <v>28.657876968383789</v>
      </c>
      <c r="N64" s="16">
        <v>33.787958145141602</v>
      </c>
      <c r="O64" s="16">
        <v>26.774868011474609</v>
      </c>
      <c r="P64" s="16">
        <v>32.222360610961914</v>
      </c>
      <c r="Q64" s="16">
        <v>26.777454376220703</v>
      </c>
      <c r="R64" s="16">
        <v>30.928840637207031</v>
      </c>
      <c r="S64" s="16">
        <v>26.670974731445312</v>
      </c>
      <c r="T64" s="16">
        <v>33.572546005249023</v>
      </c>
      <c r="U64" s="16">
        <v>26.665067672729492</v>
      </c>
      <c r="V64" s="10"/>
      <c r="W64" s="15" t="s">
        <v>21</v>
      </c>
      <c r="X64" s="71">
        <v>-7.3037147521972656E-2</v>
      </c>
      <c r="Y64" s="71">
        <v>-0.54246425628662109</v>
      </c>
      <c r="Z64" s="71">
        <v>5.419158935546875E-2</v>
      </c>
      <c r="AA64" s="71">
        <v>-0.91433429718017578</v>
      </c>
      <c r="AB64" s="71">
        <v>9.4887790679931641</v>
      </c>
      <c r="AC64" s="71">
        <v>7.0130901336669922</v>
      </c>
      <c r="AD64" s="71">
        <v>5.4449062347412109</v>
      </c>
      <c r="AE64" s="71">
        <v>4.2578659057617188</v>
      </c>
      <c r="AF64" s="71">
        <v>6.9074783325195312</v>
      </c>
      <c r="AG64" s="72">
        <v>91.2</v>
      </c>
    </row>
    <row r="65" spans="1:33" s="13" customFormat="1" ht="15" customHeight="1">
      <c r="A65" s="15" t="s">
        <v>21</v>
      </c>
      <c r="B65" s="15">
        <v>81</v>
      </c>
      <c r="C65" s="15" t="s">
        <v>22</v>
      </c>
      <c r="D65" s="16">
        <v>29.630588531494141</v>
      </c>
      <c r="E65" s="16">
        <v>27.177470207214355</v>
      </c>
      <c r="F65" s="16">
        <v>27.905719757080078</v>
      </c>
      <c r="G65" s="16">
        <v>26.813823699951172</v>
      </c>
      <c r="H65" s="16">
        <v>27.517514228820801</v>
      </c>
      <c r="I65" s="16">
        <v>26.051166534423828</v>
      </c>
      <c r="J65" s="16">
        <v>26.459999084472656</v>
      </c>
      <c r="K65" s="16">
        <v>26.499506950378418</v>
      </c>
      <c r="L65" s="16">
        <v>40</v>
      </c>
      <c r="M65" s="16">
        <v>28.700529098510742</v>
      </c>
      <c r="N65" s="16">
        <v>38.296194076538086</v>
      </c>
      <c r="O65" s="16">
        <v>26.828054428100586</v>
      </c>
      <c r="P65" s="16">
        <v>32.740236282348633</v>
      </c>
      <c r="Q65" s="16">
        <v>26.866228103637695</v>
      </c>
      <c r="R65" s="16">
        <v>34.218307495117188</v>
      </c>
      <c r="S65" s="16">
        <v>26.909868240356445</v>
      </c>
      <c r="T65" s="16">
        <v>36.834365844726562</v>
      </c>
      <c r="U65" s="16">
        <v>27.009469032287598</v>
      </c>
      <c r="V65" s="10"/>
      <c r="W65" s="15" t="s">
        <v>21</v>
      </c>
      <c r="X65" s="71">
        <v>2.4531183242797852</v>
      </c>
      <c r="Y65" s="71">
        <v>1.0918960571289062</v>
      </c>
      <c r="Z65" s="71">
        <v>1.4663476943969727</v>
      </c>
      <c r="AA65" s="71">
        <v>-3.9507865905761719E-2</v>
      </c>
      <c r="AB65" s="71">
        <v>11.299470901489258</v>
      </c>
      <c r="AC65" s="71">
        <v>11.4681396484375</v>
      </c>
      <c r="AD65" s="71">
        <v>5.8740081787109375</v>
      </c>
      <c r="AE65" s="71">
        <v>7.3084392547607422</v>
      </c>
      <c r="AF65" s="71">
        <v>9.8248968124389648</v>
      </c>
      <c r="AG65" s="72">
        <v>80.900000000000006</v>
      </c>
    </row>
    <row r="66" spans="1:33" s="14" customFormat="1" ht="15" customHeight="1">
      <c r="A66" s="15" t="s">
        <v>21</v>
      </c>
      <c r="B66" s="15">
        <v>83</v>
      </c>
      <c r="C66" s="15" t="s">
        <v>22</v>
      </c>
      <c r="D66" s="24">
        <v>27.083975791931152</v>
      </c>
      <c r="E66" s="17">
        <v>27.00955867767334</v>
      </c>
      <c r="F66" s="17">
        <v>26.44419002532959</v>
      </c>
      <c r="G66" s="17">
        <v>26.891867637634277</v>
      </c>
      <c r="H66" s="17">
        <v>24.589456558227539</v>
      </c>
      <c r="I66" s="17">
        <v>25.86888599395752</v>
      </c>
      <c r="J66" s="17">
        <v>24.396639823913574</v>
      </c>
      <c r="K66" s="17">
        <v>26.115120887756348</v>
      </c>
      <c r="L66" s="17">
        <v>35.975183486938477</v>
      </c>
      <c r="M66" s="17">
        <v>28.723435401916504</v>
      </c>
      <c r="N66" s="17">
        <v>33.893095016479492</v>
      </c>
      <c r="O66" s="17">
        <v>26.963815689086914</v>
      </c>
      <c r="P66" s="17">
        <v>30.642679214477539</v>
      </c>
      <c r="Q66" s="17">
        <v>26.923057556152344</v>
      </c>
      <c r="R66" s="17">
        <v>31.651066780090332</v>
      </c>
      <c r="S66" s="17">
        <v>26.958831787109375</v>
      </c>
      <c r="T66" s="17">
        <v>33.128765106201172</v>
      </c>
      <c r="U66" s="17">
        <v>26.946592330932617</v>
      </c>
      <c r="V66" s="10"/>
      <c r="W66" s="15" t="s">
        <v>21</v>
      </c>
      <c r="X66" s="71">
        <v>7.44171142578125E-2</v>
      </c>
      <c r="Y66" s="71">
        <v>-0.4476776123046875</v>
      </c>
      <c r="Z66" s="71">
        <v>-1.2794294357299805</v>
      </c>
      <c r="AA66" s="71">
        <v>-1.7184810638427734</v>
      </c>
      <c r="AB66" s="71">
        <v>7.2517480850219727</v>
      </c>
      <c r="AC66" s="71">
        <v>6.9292793273925781</v>
      </c>
      <c r="AD66" s="71">
        <v>3.7196216583251953</v>
      </c>
      <c r="AE66" s="71">
        <v>4.692234992980957</v>
      </c>
      <c r="AF66" s="71">
        <v>6.1821727752685547</v>
      </c>
      <c r="AG66" s="72">
        <v>98.4</v>
      </c>
    </row>
    <row r="67" spans="1:33" s="14" customFormat="1" ht="15" customHeight="1">
      <c r="A67" s="15" t="s">
        <v>21</v>
      </c>
      <c r="B67" s="15">
        <v>83</v>
      </c>
      <c r="C67" s="15" t="s">
        <v>22</v>
      </c>
      <c r="D67" s="24">
        <v>29.442655563354492</v>
      </c>
      <c r="E67" s="17">
        <v>26.673979759216309</v>
      </c>
      <c r="F67" s="17">
        <v>28.359831809997559</v>
      </c>
      <c r="G67" s="17">
        <v>26.562040328979492</v>
      </c>
      <c r="H67" s="17">
        <v>27.925332069396973</v>
      </c>
      <c r="I67" s="17">
        <v>25.947539329528809</v>
      </c>
      <c r="J67" s="17">
        <v>26.252500534057617</v>
      </c>
      <c r="K67" s="17">
        <v>26.209284782409668</v>
      </c>
      <c r="L67" s="17">
        <v>39.316812515258789</v>
      </c>
      <c r="M67" s="17">
        <v>28.422743797302246</v>
      </c>
      <c r="N67" s="17">
        <v>38.270229339599609</v>
      </c>
      <c r="O67" s="17">
        <v>26.544922828674316</v>
      </c>
      <c r="P67" s="17">
        <v>33.709924697875977</v>
      </c>
      <c r="Q67" s="17">
        <v>26.601813316345215</v>
      </c>
      <c r="R67" s="17">
        <v>34.239406585693359</v>
      </c>
      <c r="S67" s="17">
        <v>26.673598289489746</v>
      </c>
      <c r="T67" s="17">
        <v>37.276935577392578</v>
      </c>
      <c r="U67" s="17">
        <v>26.659738540649414</v>
      </c>
      <c r="V67" s="10"/>
      <c r="W67" s="15" t="s">
        <v>21</v>
      </c>
      <c r="X67" s="71">
        <v>2.7686758041381836</v>
      </c>
      <c r="Y67" s="71">
        <v>1.7977914810180664</v>
      </c>
      <c r="Z67" s="71">
        <v>1.9777927398681641</v>
      </c>
      <c r="AA67" s="71">
        <v>4.3215751647949219E-2</v>
      </c>
      <c r="AB67" s="71">
        <v>10.894068717956543</v>
      </c>
      <c r="AC67" s="71">
        <v>11.725306510925293</v>
      </c>
      <c r="AD67" s="71">
        <v>7.1081113815307617</v>
      </c>
      <c r="AE67" s="71">
        <v>7.5658082962036133</v>
      </c>
      <c r="AF67" s="71">
        <v>10.617197036743164</v>
      </c>
      <c r="AG67" s="72">
        <v>63.7</v>
      </c>
    </row>
    <row r="68" spans="1:33" s="14" customFormat="1" ht="15" customHeight="1">
      <c r="A68" s="15" t="s">
        <v>21</v>
      </c>
      <c r="B68" s="15">
        <v>83</v>
      </c>
      <c r="C68" s="15" t="s">
        <v>22</v>
      </c>
      <c r="D68" s="24">
        <v>26.491237640380859</v>
      </c>
      <c r="E68" s="17">
        <v>27.635905265808105</v>
      </c>
      <c r="F68" s="17">
        <v>26.154788970947266</v>
      </c>
      <c r="G68" s="17">
        <v>27.627856254577637</v>
      </c>
      <c r="H68" s="17">
        <v>26.055638313293457</v>
      </c>
      <c r="I68" s="17">
        <v>26.881305694580078</v>
      </c>
      <c r="J68" s="17">
        <v>25.616582870483398</v>
      </c>
      <c r="K68" s="17">
        <v>27.104691505432129</v>
      </c>
      <c r="L68" s="17">
        <v>37.020336151123047</v>
      </c>
      <c r="M68" s="17">
        <v>29.627935409545898</v>
      </c>
      <c r="N68" s="17">
        <v>32.928041458129883</v>
      </c>
      <c r="O68" s="17">
        <v>27.895230293273926</v>
      </c>
      <c r="P68" s="17">
        <v>32.373001098632812</v>
      </c>
      <c r="Q68" s="17">
        <v>27.892437934875488</v>
      </c>
      <c r="R68" s="17">
        <v>30.36623477935791</v>
      </c>
      <c r="S68" s="17">
        <v>27.522777557373047</v>
      </c>
      <c r="T68" s="17">
        <v>33.269594192504883</v>
      </c>
      <c r="U68" s="17">
        <v>27.667021751403809</v>
      </c>
      <c r="V68" s="10"/>
      <c r="W68" s="15" t="s">
        <v>21</v>
      </c>
      <c r="X68" s="71">
        <v>-1.1446676254272461</v>
      </c>
      <c r="Y68" s="71">
        <v>-1.4730672836303711</v>
      </c>
      <c r="Z68" s="71">
        <v>-0.82566738128662109</v>
      </c>
      <c r="AA68" s="71">
        <v>-1.4881086349487305</v>
      </c>
      <c r="AB68" s="71">
        <v>7.3924007415771484</v>
      </c>
      <c r="AC68" s="71">
        <v>5.032811164855957</v>
      </c>
      <c r="AD68" s="71">
        <v>4.4805631637573242</v>
      </c>
      <c r="AE68" s="71">
        <v>2.8434572219848633</v>
      </c>
      <c r="AF68" s="71">
        <v>5.6025724411010742</v>
      </c>
      <c r="AG68" s="72">
        <v>97.9</v>
      </c>
    </row>
    <row r="69" spans="1:33" s="14" customFormat="1" ht="15" customHeight="1">
      <c r="A69" s="15" t="s">
        <v>21</v>
      </c>
      <c r="B69" s="15">
        <v>83</v>
      </c>
      <c r="C69" s="15" t="s">
        <v>22</v>
      </c>
      <c r="D69" s="24">
        <v>25.812405586242676</v>
      </c>
      <c r="E69" s="17">
        <v>26.798094749450684</v>
      </c>
      <c r="F69" s="17">
        <v>25.46877384185791</v>
      </c>
      <c r="G69" s="17">
        <v>26.77252197265625</v>
      </c>
      <c r="H69" s="17">
        <v>28.050459861755371</v>
      </c>
      <c r="I69" s="17">
        <v>26.888137817382812</v>
      </c>
      <c r="J69" s="17">
        <v>27.338047027587891</v>
      </c>
      <c r="K69" s="17">
        <v>26.741901397705078</v>
      </c>
      <c r="L69" s="17">
        <v>39.235698699951172</v>
      </c>
      <c r="M69" s="17">
        <v>28.812609672546387</v>
      </c>
      <c r="N69" s="17">
        <v>32.763385772705078</v>
      </c>
      <c r="O69" s="17">
        <v>26.989950180053711</v>
      </c>
      <c r="P69" s="17">
        <v>34.783336639404297</v>
      </c>
      <c r="Q69" s="17">
        <v>26.949934959411621</v>
      </c>
      <c r="R69" s="17">
        <v>29.957522392272949</v>
      </c>
      <c r="S69" s="17">
        <v>26.798020362854004</v>
      </c>
      <c r="T69" s="17">
        <v>34.112367630004883</v>
      </c>
      <c r="U69" s="17">
        <v>26.944404602050781</v>
      </c>
      <c r="V69" s="10"/>
      <c r="W69" s="15" t="s">
        <v>21</v>
      </c>
      <c r="X69" s="71">
        <v>-0.98568916320800781</v>
      </c>
      <c r="Y69" s="71">
        <v>-1.3037481307983398</v>
      </c>
      <c r="Z69" s="71">
        <v>1.1623220443725586</v>
      </c>
      <c r="AA69" s="71">
        <v>0.5961456298828125</v>
      </c>
      <c r="AB69" s="71">
        <v>10.423089027404785</v>
      </c>
      <c r="AC69" s="71">
        <v>5.7734355926513672</v>
      </c>
      <c r="AD69" s="71">
        <v>7.8334016799926758</v>
      </c>
      <c r="AE69" s="71">
        <v>3.1595020294189453</v>
      </c>
      <c r="AF69" s="71">
        <v>7.1679630279541016</v>
      </c>
      <c r="AG69" s="72">
        <v>71.2</v>
      </c>
    </row>
    <row r="70" spans="1:33" s="14" customFormat="1" ht="15" customHeight="1">
      <c r="A70" s="15" t="s">
        <v>21</v>
      </c>
      <c r="B70" s="15">
        <v>85</v>
      </c>
      <c r="C70" s="15" t="s">
        <v>22</v>
      </c>
      <c r="D70" s="24">
        <v>25.740513801574707</v>
      </c>
      <c r="E70" s="17">
        <v>27.326390266418457</v>
      </c>
      <c r="F70" s="17">
        <v>25.316884994506836</v>
      </c>
      <c r="G70" s="17">
        <v>27.254513740539551</v>
      </c>
      <c r="H70" s="17">
        <v>25.002843856811523</v>
      </c>
      <c r="I70" s="17">
        <v>26.399323463439941</v>
      </c>
      <c r="J70" s="17">
        <v>24.924249649047852</v>
      </c>
      <c r="K70" s="17">
        <v>26.77394962310791</v>
      </c>
      <c r="L70" s="17">
        <v>36.887184143066406</v>
      </c>
      <c r="M70" s="17">
        <v>29.462189674377441</v>
      </c>
      <c r="N70" s="17">
        <v>32.100580215454102</v>
      </c>
      <c r="O70" s="17">
        <v>27.515898704528809</v>
      </c>
      <c r="P70" s="17">
        <v>31.117008209228516</v>
      </c>
      <c r="Q70" s="17">
        <v>27.518310546875</v>
      </c>
      <c r="R70" s="17">
        <v>29.579911231994629</v>
      </c>
      <c r="S70" s="17">
        <v>27.261868476867676</v>
      </c>
      <c r="T70" s="17">
        <v>32.394033432006836</v>
      </c>
      <c r="U70" s="17">
        <v>27.537884712219238</v>
      </c>
      <c r="V70" s="10"/>
      <c r="W70" s="15" t="s">
        <v>21</v>
      </c>
      <c r="X70" s="71">
        <v>-1.58587646484375</v>
      </c>
      <c r="Y70" s="71">
        <v>-1.9376287460327148</v>
      </c>
      <c r="Z70" s="71">
        <v>-1.396479606628418</v>
      </c>
      <c r="AA70" s="71">
        <v>-1.8496999740600586</v>
      </c>
      <c r="AB70" s="71">
        <v>7.4249944686889648</v>
      </c>
      <c r="AC70" s="71">
        <v>4.584681510925293</v>
      </c>
      <c r="AD70" s="71">
        <v>3.5986976623535156</v>
      </c>
      <c r="AE70" s="71">
        <v>2.3180427551269531</v>
      </c>
      <c r="AF70" s="71">
        <v>4.8561487197875977</v>
      </c>
      <c r="AG70" s="72">
        <v>98.8</v>
      </c>
    </row>
    <row r="71" spans="1:33" s="13" customFormat="1" ht="15" customHeight="1">
      <c r="A71" s="44" t="s">
        <v>21</v>
      </c>
      <c r="B71" s="44">
        <v>68</v>
      </c>
      <c r="C71" s="44" t="s">
        <v>22</v>
      </c>
      <c r="D71" s="45">
        <v>30.140938758850098</v>
      </c>
      <c r="E71" s="45">
        <v>25.750479698181152</v>
      </c>
      <c r="F71" s="45">
        <v>28.018038749694824</v>
      </c>
      <c r="G71" s="45">
        <v>25.712470054626465</v>
      </c>
      <c r="H71" s="45">
        <v>26.861865997314453</v>
      </c>
      <c r="I71" s="45">
        <v>24.959626197814941</v>
      </c>
      <c r="J71" s="45">
        <v>28.997125625610352</v>
      </c>
      <c r="K71" s="45">
        <v>25.709494590759277</v>
      </c>
      <c r="L71" s="45">
        <v>40</v>
      </c>
      <c r="M71" s="45">
        <v>27.363626480102539</v>
      </c>
      <c r="N71" s="45">
        <v>40</v>
      </c>
      <c r="O71" s="45">
        <v>25.720576286315918</v>
      </c>
      <c r="P71" s="45">
        <v>35.455907821655273</v>
      </c>
      <c r="Q71" s="45">
        <v>25.610898017883301</v>
      </c>
      <c r="R71" s="45">
        <v>35.143932342529297</v>
      </c>
      <c r="S71" s="45">
        <v>25.896997451782227</v>
      </c>
      <c r="T71" s="45">
        <v>38.049354553222656</v>
      </c>
      <c r="U71" s="45">
        <v>25.67729377746582</v>
      </c>
      <c r="V71" s="29"/>
      <c r="W71" s="44" t="s">
        <v>21</v>
      </c>
      <c r="X71" s="69">
        <v>4.3904590606689453</v>
      </c>
      <c r="Y71" s="69">
        <v>2.3055686950683594</v>
      </c>
      <c r="Z71" s="69">
        <v>1.9022397994995117</v>
      </c>
      <c r="AA71" s="69">
        <v>3.2876310348510742</v>
      </c>
      <c r="AB71" s="69">
        <v>12.636373519897461</v>
      </c>
      <c r="AC71" s="69">
        <v>14.279423713684082</v>
      </c>
      <c r="AD71" s="69">
        <v>9.8450098037719727</v>
      </c>
      <c r="AE71" s="69">
        <v>9.2469348907470703</v>
      </c>
      <c r="AF71" s="69">
        <v>12.372060775756836</v>
      </c>
      <c r="AG71" s="70">
        <v>24.1</v>
      </c>
    </row>
    <row r="72" spans="1:33" s="13" customFormat="1" ht="17">
      <c r="A72" s="15" t="s">
        <v>21</v>
      </c>
      <c r="B72" s="15">
        <v>74</v>
      </c>
      <c r="C72" s="15" t="s">
        <v>22</v>
      </c>
      <c r="D72" s="16">
        <v>26.591707229614258</v>
      </c>
      <c r="E72" s="16">
        <v>26.445732116699219</v>
      </c>
      <c r="F72" s="16">
        <v>25.591926574707031</v>
      </c>
      <c r="G72" s="16">
        <v>26.358029365539551</v>
      </c>
      <c r="H72" s="16">
        <v>25.752556800842285</v>
      </c>
      <c r="I72" s="16">
        <v>25.487312316894531</v>
      </c>
      <c r="J72" s="16">
        <v>26.085796356201172</v>
      </c>
      <c r="K72" s="16">
        <v>26.141465187072754</v>
      </c>
      <c r="L72" s="16">
        <v>38.216550827026367</v>
      </c>
      <c r="M72" s="16">
        <v>28.246155738830566</v>
      </c>
      <c r="N72" s="16">
        <v>34.940603256225586</v>
      </c>
      <c r="O72" s="16">
        <v>26.480616569519043</v>
      </c>
      <c r="P72" s="16">
        <v>33.115497589111328</v>
      </c>
      <c r="Q72" s="16">
        <v>26.575625419616699</v>
      </c>
      <c r="R72" s="16">
        <v>31.137813568115234</v>
      </c>
      <c r="S72" s="16">
        <v>26.564373016357422</v>
      </c>
      <c r="T72" s="16">
        <v>35.392000198364258</v>
      </c>
      <c r="U72" s="16">
        <v>26.582432746887207</v>
      </c>
      <c r="V72" s="10"/>
      <c r="W72" s="15" t="s">
        <v>21</v>
      </c>
      <c r="X72" s="71">
        <v>0.14597511291503906</v>
      </c>
      <c r="Y72" s="71">
        <v>-0.76610279083251953</v>
      </c>
      <c r="Z72" s="71">
        <v>0.26524448394775391</v>
      </c>
      <c r="AA72" s="71">
        <v>-5.5668830871582031E-2</v>
      </c>
      <c r="AB72" s="71">
        <v>9.9703950881958008</v>
      </c>
      <c r="AC72" s="71">
        <v>8.459986686706543</v>
      </c>
      <c r="AD72" s="71">
        <v>6.5398721694946289</v>
      </c>
      <c r="AE72" s="71">
        <v>4.5734405517578125</v>
      </c>
      <c r="AF72" s="71">
        <v>8.8095674514770508</v>
      </c>
      <c r="AG72" s="72">
        <v>88.7</v>
      </c>
    </row>
    <row r="73" spans="1:33" s="13" customFormat="1" ht="17">
      <c r="A73" s="15" t="s">
        <v>21</v>
      </c>
      <c r="B73" s="15">
        <v>79</v>
      </c>
      <c r="C73" s="15" t="s">
        <v>22</v>
      </c>
      <c r="D73" s="16">
        <v>26.324018478393555</v>
      </c>
      <c r="E73" s="16">
        <v>27.369719505310059</v>
      </c>
      <c r="F73" s="16">
        <v>25.548906326293945</v>
      </c>
      <c r="G73" s="16">
        <v>27.330994606018066</v>
      </c>
      <c r="H73" s="16">
        <v>22.491039276123047</v>
      </c>
      <c r="I73" s="16">
        <v>27.062657356262207</v>
      </c>
      <c r="J73" s="16">
        <v>25.230588912963867</v>
      </c>
      <c r="K73" s="16">
        <v>26.818587303161621</v>
      </c>
      <c r="L73" s="16">
        <v>36.153556823730469</v>
      </c>
      <c r="M73" s="16">
        <v>29.364565849304199</v>
      </c>
      <c r="N73" s="16">
        <v>33.404607772827148</v>
      </c>
      <c r="O73" s="16">
        <v>27.569543838500977</v>
      </c>
      <c r="P73" s="16">
        <v>30.04469108581543</v>
      </c>
      <c r="Q73" s="16">
        <v>27.49260425567627</v>
      </c>
      <c r="R73" s="16">
        <v>29.931440353393555</v>
      </c>
      <c r="S73" s="16">
        <v>27.245692253112793</v>
      </c>
      <c r="T73" s="16">
        <v>32.032029151916504</v>
      </c>
      <c r="U73" s="16">
        <v>27.409426689147949</v>
      </c>
      <c r="V73" s="10"/>
      <c r="W73" s="15" t="s">
        <v>21</v>
      </c>
      <c r="X73" s="71">
        <v>-1.0457010269165039</v>
      </c>
      <c r="Y73" s="71">
        <v>-1.7820882797241211</v>
      </c>
      <c r="Z73" s="71">
        <v>-4.5716180801391602</v>
      </c>
      <c r="AA73" s="71">
        <v>-1.5879983901977539</v>
      </c>
      <c r="AB73" s="71">
        <v>6.7889909744262695</v>
      </c>
      <c r="AC73" s="71">
        <v>5.8350639343261719</v>
      </c>
      <c r="AD73" s="71">
        <v>2.5520868301391602</v>
      </c>
      <c r="AE73" s="71">
        <v>2.6857481002807617</v>
      </c>
      <c r="AF73" s="71">
        <v>4.6226024627685547</v>
      </c>
      <c r="AG73" s="72">
        <v>99.6</v>
      </c>
    </row>
    <row r="74" spans="1:33" s="13" customFormat="1" ht="17">
      <c r="A74" s="15" t="s">
        <v>21</v>
      </c>
      <c r="B74" s="15">
        <v>79</v>
      </c>
      <c r="C74" s="15" t="s">
        <v>22</v>
      </c>
      <c r="D74" s="16">
        <v>26.985294342041016</v>
      </c>
      <c r="E74" s="16">
        <v>26.061532974243164</v>
      </c>
      <c r="F74" s="16">
        <v>25.752110481262207</v>
      </c>
      <c r="G74" s="16">
        <v>26.062053680419922</v>
      </c>
      <c r="H74" s="16">
        <v>24.76209831237793</v>
      </c>
      <c r="I74" s="16">
        <v>24.925357818603516</v>
      </c>
      <c r="J74" s="16">
        <v>25.760476112365723</v>
      </c>
      <c r="K74" s="16">
        <v>25.750293731689453</v>
      </c>
      <c r="L74" s="16">
        <v>38.164972305297852</v>
      </c>
      <c r="M74" s="16">
        <v>27.684612274169922</v>
      </c>
      <c r="N74" s="16">
        <v>35.518531799316406</v>
      </c>
      <c r="O74" s="16">
        <v>26.056604385375977</v>
      </c>
      <c r="P74" s="16">
        <v>32.709894180297852</v>
      </c>
      <c r="Q74" s="16">
        <v>26.098408699035645</v>
      </c>
      <c r="R74" s="16">
        <v>31.964566230773926</v>
      </c>
      <c r="S74" s="16">
        <v>26.152683258056641</v>
      </c>
      <c r="T74" s="16">
        <v>34.02386474609375</v>
      </c>
      <c r="U74" s="16">
        <v>26.103172302246094</v>
      </c>
      <c r="V74" s="10"/>
      <c r="W74" s="15" t="s">
        <v>21</v>
      </c>
      <c r="X74" s="71">
        <v>0.92376136779785156</v>
      </c>
      <c r="Y74" s="71">
        <v>-0.30994319915771484</v>
      </c>
      <c r="Z74" s="71">
        <v>-0.16325950622558594</v>
      </c>
      <c r="AA74" s="71">
        <v>1.0182380676269531E-2</v>
      </c>
      <c r="AB74" s="71">
        <v>10.48036003112793</v>
      </c>
      <c r="AC74" s="71">
        <v>9.4619274139404297</v>
      </c>
      <c r="AD74" s="71">
        <v>6.611485481262207</v>
      </c>
      <c r="AE74" s="71">
        <v>5.8118829727172852</v>
      </c>
      <c r="AF74" s="71">
        <v>7.9206924438476562</v>
      </c>
      <c r="AG74" s="72">
        <v>82.5</v>
      </c>
    </row>
    <row r="75" spans="1:33" s="13" customFormat="1" ht="17">
      <c r="A75" s="15" t="s">
        <v>21</v>
      </c>
      <c r="B75" s="15">
        <v>79</v>
      </c>
      <c r="C75" s="15" t="s">
        <v>22</v>
      </c>
      <c r="D75" s="16">
        <v>26.43195629119873</v>
      </c>
      <c r="E75" s="16">
        <v>26.275513648986816</v>
      </c>
      <c r="F75" s="16">
        <v>25.756049156188965</v>
      </c>
      <c r="G75" s="16">
        <v>26.32430362701416</v>
      </c>
      <c r="H75" s="16">
        <v>24.78669548034668</v>
      </c>
      <c r="I75" s="16">
        <v>25.22010326385498</v>
      </c>
      <c r="J75" s="16">
        <v>24.454558372497559</v>
      </c>
      <c r="K75" s="16">
        <v>25.710417747497559</v>
      </c>
      <c r="L75" s="16">
        <v>36.93830680847168</v>
      </c>
      <c r="M75" s="16">
        <v>28.008183479309082</v>
      </c>
      <c r="N75" s="16">
        <v>34.237541198730469</v>
      </c>
      <c r="O75" s="16">
        <v>26.382791519165039</v>
      </c>
      <c r="P75" s="16">
        <v>30.440633773803711</v>
      </c>
      <c r="Q75" s="16">
        <v>26.306090354919434</v>
      </c>
      <c r="R75" s="16">
        <v>31.224617958068848</v>
      </c>
      <c r="S75" s="16">
        <v>26.360630035400391</v>
      </c>
      <c r="T75" s="16">
        <v>32.392122268676758</v>
      </c>
      <c r="U75" s="16">
        <v>26.384809494018555</v>
      </c>
      <c r="V75" s="10"/>
      <c r="W75" s="15" t="s">
        <v>21</v>
      </c>
      <c r="X75" s="71">
        <v>0.15644264221191406</v>
      </c>
      <c r="Y75" s="71">
        <v>-0.56825447082519531</v>
      </c>
      <c r="Z75" s="71">
        <v>-0.43340778350830078</v>
      </c>
      <c r="AA75" s="71">
        <v>-1.255859375</v>
      </c>
      <c r="AB75" s="71">
        <v>8.9301233291625977</v>
      </c>
      <c r="AC75" s="71">
        <v>7.8547496795654297</v>
      </c>
      <c r="AD75" s="71">
        <v>4.1345434188842773</v>
      </c>
      <c r="AE75" s="71">
        <v>4.863987922668457</v>
      </c>
      <c r="AF75" s="71">
        <v>6.0073127746582031</v>
      </c>
      <c r="AG75" s="72">
        <v>96.5</v>
      </c>
    </row>
    <row r="76" spans="1:33" s="13" customFormat="1" ht="17">
      <c r="A76" s="15" t="s">
        <v>21</v>
      </c>
      <c r="B76" s="15">
        <v>80</v>
      </c>
      <c r="C76" s="15" t="s">
        <v>22</v>
      </c>
      <c r="D76" s="16">
        <v>26.208700180053711</v>
      </c>
      <c r="E76" s="16">
        <v>25.692399024963379</v>
      </c>
      <c r="F76" s="16">
        <v>25.601898193359375</v>
      </c>
      <c r="G76" s="16">
        <v>25.656154632568359</v>
      </c>
      <c r="H76" s="16">
        <v>24.524566650390625</v>
      </c>
      <c r="I76" s="16">
        <v>24.68549633026123</v>
      </c>
      <c r="J76" s="16">
        <v>24.924362182617188</v>
      </c>
      <c r="K76" s="16">
        <v>25.296838760375977</v>
      </c>
      <c r="L76" s="16">
        <v>36.978666305541992</v>
      </c>
      <c r="M76" s="16">
        <v>27.551358222961426</v>
      </c>
      <c r="N76" s="16">
        <v>33.749357223510742</v>
      </c>
      <c r="O76" s="16">
        <v>25.82374382019043</v>
      </c>
      <c r="P76" s="16">
        <v>30.91673755645752</v>
      </c>
      <c r="Q76" s="16">
        <v>25.711677551269531</v>
      </c>
      <c r="R76" s="16">
        <v>30.79697322845459</v>
      </c>
      <c r="S76" s="16">
        <v>25.799346923828125</v>
      </c>
      <c r="T76" s="16">
        <v>34.848838806152344</v>
      </c>
      <c r="U76" s="16">
        <v>25.84620189666748</v>
      </c>
      <c r="V76" s="10"/>
      <c r="W76" s="15" t="s">
        <v>21</v>
      </c>
      <c r="X76" s="71">
        <v>0.51630115509033203</v>
      </c>
      <c r="Y76" s="71">
        <v>-5.4256439208984375E-2</v>
      </c>
      <c r="Z76" s="71">
        <v>-0.16092967987060547</v>
      </c>
      <c r="AA76" s="71">
        <v>-0.37247657775878906</v>
      </c>
      <c r="AB76" s="71">
        <v>9.4273080825805664</v>
      </c>
      <c r="AC76" s="71">
        <v>7.9256134033203125</v>
      </c>
      <c r="AD76" s="71">
        <v>5.2050600051879883</v>
      </c>
      <c r="AE76" s="71">
        <v>4.9976263046264648</v>
      </c>
      <c r="AF76" s="71">
        <v>9.0026369094848633</v>
      </c>
      <c r="AG76" s="72">
        <v>94.4</v>
      </c>
    </row>
    <row r="77" spans="1:33" s="13" customFormat="1" ht="17">
      <c r="A77" s="15" t="s">
        <v>21</v>
      </c>
      <c r="B77" s="15">
        <v>81</v>
      </c>
      <c r="C77" s="15" t="s">
        <v>22</v>
      </c>
      <c r="D77" s="16">
        <v>24.707327842712402</v>
      </c>
      <c r="E77" s="16">
        <v>25.936121940612793</v>
      </c>
      <c r="F77" s="16">
        <v>24.045788764953613</v>
      </c>
      <c r="G77" s="16">
        <v>25.908615112304688</v>
      </c>
      <c r="H77" s="16">
        <v>25.159687995910645</v>
      </c>
      <c r="I77" s="16">
        <v>25.10069465637207</v>
      </c>
      <c r="J77" s="16">
        <v>24.641098976135254</v>
      </c>
      <c r="K77" s="16">
        <v>25.602199554443359</v>
      </c>
      <c r="L77" s="16">
        <v>35.982397079467773</v>
      </c>
      <c r="M77" s="16">
        <v>27.943819999694824</v>
      </c>
      <c r="N77" s="16">
        <v>31.385869979858398</v>
      </c>
      <c r="O77" s="16">
        <v>26.136731147766113</v>
      </c>
      <c r="P77" s="16">
        <v>30.478135108947754</v>
      </c>
      <c r="Q77" s="16">
        <v>26.054805755615234</v>
      </c>
      <c r="R77" s="16">
        <v>27.67246150970459</v>
      </c>
      <c r="S77" s="16">
        <v>25.78764820098877</v>
      </c>
      <c r="T77" s="16">
        <v>32.210699081420898</v>
      </c>
      <c r="U77" s="16">
        <v>26.038908004760742</v>
      </c>
      <c r="V77" s="10"/>
      <c r="W77" s="15" t="s">
        <v>21</v>
      </c>
      <c r="X77" s="71">
        <v>-1.2287940979003906</v>
      </c>
      <c r="Y77" s="71">
        <v>-1.8628263473510742</v>
      </c>
      <c r="Z77" s="71">
        <v>5.8993339538574219E-2</v>
      </c>
      <c r="AA77" s="71">
        <v>-0.96110057830810547</v>
      </c>
      <c r="AB77" s="71">
        <v>8.0385770797729492</v>
      </c>
      <c r="AC77" s="71">
        <v>5.2491388320922852</v>
      </c>
      <c r="AD77" s="71">
        <v>4.4233293533325195</v>
      </c>
      <c r="AE77" s="71">
        <v>1.8848133087158203</v>
      </c>
      <c r="AF77" s="71">
        <v>6.1717910766601562</v>
      </c>
      <c r="AG77" s="72">
        <v>98.2</v>
      </c>
    </row>
    <row r="78" spans="1:33" s="13" customFormat="1" ht="17">
      <c r="A78" s="15" t="s">
        <v>21</v>
      </c>
      <c r="B78" s="15">
        <v>81</v>
      </c>
      <c r="C78" s="15" t="s">
        <v>22</v>
      </c>
      <c r="D78" s="16">
        <v>26.270416259765625</v>
      </c>
      <c r="E78" s="16">
        <v>26.162481307983398</v>
      </c>
      <c r="F78" s="16">
        <v>25.643603324890137</v>
      </c>
      <c r="G78" s="16">
        <v>26.145340919494629</v>
      </c>
      <c r="H78" s="16">
        <v>25.933194160461426</v>
      </c>
      <c r="I78" s="16">
        <v>25.325448989868164</v>
      </c>
      <c r="J78" s="16">
        <v>24.958253860473633</v>
      </c>
      <c r="K78" s="16">
        <v>25.804950714111328</v>
      </c>
      <c r="L78" s="16">
        <v>37.492433547973633</v>
      </c>
      <c r="M78" s="16">
        <v>28.10106086730957</v>
      </c>
      <c r="N78" s="16">
        <v>34.210533142089844</v>
      </c>
      <c r="O78" s="16">
        <v>26.469904899597168</v>
      </c>
      <c r="P78" s="16">
        <v>31.440203666687012</v>
      </c>
      <c r="Q78" s="16">
        <v>26.299251556396484</v>
      </c>
      <c r="R78" s="16">
        <v>30.88267993927002</v>
      </c>
      <c r="S78" s="16">
        <v>26.222582817077637</v>
      </c>
      <c r="T78" s="16">
        <v>34.122598648071289</v>
      </c>
      <c r="U78" s="16">
        <v>26.251979827880859</v>
      </c>
      <c r="V78" s="10"/>
      <c r="W78" s="15" t="s">
        <v>21</v>
      </c>
      <c r="X78" s="71">
        <v>0.10793495178222656</v>
      </c>
      <c r="Y78" s="71">
        <v>-0.50173759460449219</v>
      </c>
      <c r="Z78" s="71">
        <v>0.60774517059326172</v>
      </c>
      <c r="AA78" s="71">
        <v>-0.84669685363769531</v>
      </c>
      <c r="AB78" s="71">
        <v>9.3913726806640625</v>
      </c>
      <c r="AC78" s="71">
        <v>7.7406282424926758</v>
      </c>
      <c r="AD78" s="71">
        <v>5.1409521102905273</v>
      </c>
      <c r="AE78" s="71">
        <v>4.6600971221923828</v>
      </c>
      <c r="AF78" s="71">
        <v>7.8706188201904297</v>
      </c>
      <c r="AG78" s="72">
        <v>94</v>
      </c>
    </row>
    <row r="79" spans="1:33" s="13" customFormat="1" ht="17">
      <c r="A79" s="18" t="s">
        <v>21</v>
      </c>
      <c r="B79" s="15">
        <v>82</v>
      </c>
      <c r="C79" s="15" t="s">
        <v>22</v>
      </c>
      <c r="D79" s="16">
        <v>27.371695518493652</v>
      </c>
      <c r="E79" s="16">
        <v>26.418791770935059</v>
      </c>
      <c r="F79" s="16">
        <v>26.415508270263672</v>
      </c>
      <c r="G79" s="16">
        <v>26.383939743041992</v>
      </c>
      <c r="H79" s="16">
        <v>25.754688262939453</v>
      </c>
      <c r="I79" s="16">
        <v>25.412293434143066</v>
      </c>
      <c r="J79" s="16">
        <v>24.483501434326172</v>
      </c>
      <c r="K79" s="16">
        <v>25.85853099822998</v>
      </c>
      <c r="L79" s="16">
        <v>36.732698440551758</v>
      </c>
      <c r="M79" s="16">
        <v>28.265158653259277</v>
      </c>
      <c r="N79" s="16">
        <v>35.258420944213867</v>
      </c>
      <c r="O79" s="16">
        <v>26.532026290893555</v>
      </c>
      <c r="P79" s="16">
        <v>31.255364418029785</v>
      </c>
      <c r="Q79" s="16">
        <v>26.372133255004883</v>
      </c>
      <c r="R79" s="16">
        <v>32.115718841552734</v>
      </c>
      <c r="S79" s="16">
        <v>26.540383338928223</v>
      </c>
      <c r="T79" s="16">
        <v>34.559726715087891</v>
      </c>
      <c r="U79" s="16">
        <v>26.40933895111084</v>
      </c>
      <c r="V79" s="10"/>
      <c r="W79" s="18" t="s">
        <v>21</v>
      </c>
      <c r="X79" s="71">
        <v>0.95290374755859375</v>
      </c>
      <c r="Y79" s="71">
        <v>3.1568527221679688E-2</v>
      </c>
      <c r="Z79" s="71">
        <v>0.34239482879638672</v>
      </c>
      <c r="AA79" s="71">
        <v>-1.3750295639038086</v>
      </c>
      <c r="AB79" s="71">
        <v>8.4675397872924805</v>
      </c>
      <c r="AC79" s="71">
        <v>8.7263946533203125</v>
      </c>
      <c r="AD79" s="71">
        <v>4.8832311630249023</v>
      </c>
      <c r="AE79" s="71">
        <v>5.5753355026245117</v>
      </c>
      <c r="AF79" s="71">
        <v>8.1503877639770508</v>
      </c>
      <c r="AG79" s="72">
        <v>95.4</v>
      </c>
    </row>
    <row r="80" spans="1:33" s="13" customFormat="1" ht="17">
      <c r="A80" s="15" t="s">
        <v>21</v>
      </c>
      <c r="B80" s="15">
        <v>83</v>
      </c>
      <c r="C80" s="15" t="s">
        <v>22</v>
      </c>
      <c r="D80" s="16">
        <v>26.12809944152832</v>
      </c>
      <c r="E80" s="16">
        <v>26.962908744812012</v>
      </c>
      <c r="F80" s="16">
        <v>25.418143272399902</v>
      </c>
      <c r="G80" s="16">
        <v>26.962986946105957</v>
      </c>
      <c r="H80" s="16">
        <v>25.294829368591309</v>
      </c>
      <c r="I80" s="16">
        <v>26.067065238952637</v>
      </c>
      <c r="J80" s="16">
        <v>24.692415237426758</v>
      </c>
      <c r="K80" s="16">
        <v>26.448375701904297</v>
      </c>
      <c r="L80" s="16">
        <v>35.625682830810547</v>
      </c>
      <c r="M80" s="16">
        <v>29.021658897399902</v>
      </c>
      <c r="N80" s="16">
        <v>32.889713287353516</v>
      </c>
      <c r="O80" s="16">
        <v>27.12675666809082</v>
      </c>
      <c r="P80" s="16">
        <v>30.720907211303711</v>
      </c>
      <c r="Q80" s="16">
        <v>27.046176910400391</v>
      </c>
      <c r="R80" s="16">
        <v>29.905985832214355</v>
      </c>
      <c r="S80" s="16">
        <v>26.903800010681152</v>
      </c>
      <c r="T80" s="16">
        <v>32.941898345947266</v>
      </c>
      <c r="U80" s="16">
        <v>27.23673152923584</v>
      </c>
      <c r="V80" s="10"/>
      <c r="W80" s="15" t="s">
        <v>21</v>
      </c>
      <c r="X80" s="71">
        <v>-0.83480930328369141</v>
      </c>
      <c r="Y80" s="71">
        <v>-1.5448436737060547</v>
      </c>
      <c r="Z80" s="71">
        <v>-0.77223587036132812</v>
      </c>
      <c r="AA80" s="71">
        <v>-1.7559604644775391</v>
      </c>
      <c r="AB80" s="71">
        <v>6.6040239334106445</v>
      </c>
      <c r="AC80" s="71">
        <v>5.7629566192626953</v>
      </c>
      <c r="AD80" s="71">
        <v>3.6747303009033203</v>
      </c>
      <c r="AE80" s="71">
        <v>3.0021858215332031</v>
      </c>
      <c r="AF80" s="71">
        <v>5.7051668167114258</v>
      </c>
      <c r="AG80" s="72">
        <v>99.1</v>
      </c>
    </row>
    <row r="81" spans="1:33" s="13" customFormat="1" ht="17">
      <c r="A81" s="15" t="s">
        <v>21</v>
      </c>
      <c r="B81" s="15">
        <v>83</v>
      </c>
      <c r="C81" s="15" t="s">
        <v>22</v>
      </c>
      <c r="D81" s="23">
        <v>27.138741493225098</v>
      </c>
      <c r="E81" s="23">
        <v>26.305617332458496</v>
      </c>
      <c r="F81" s="16">
        <v>25.722087860107422</v>
      </c>
      <c r="G81" s="16">
        <v>26.1602783203125</v>
      </c>
      <c r="H81" s="16">
        <v>23.376090049743652</v>
      </c>
      <c r="I81" s="16">
        <v>25.096908569335938</v>
      </c>
      <c r="J81" s="16">
        <v>24.69061279296875</v>
      </c>
      <c r="K81" s="16">
        <v>25.636412620544434</v>
      </c>
      <c r="L81" s="16">
        <v>38.343072891235352</v>
      </c>
      <c r="M81" s="16">
        <v>28.195376396179199</v>
      </c>
      <c r="N81" s="16">
        <v>35.834821701049805</v>
      </c>
      <c r="O81" s="16">
        <v>26.278775215148926</v>
      </c>
      <c r="P81" s="16">
        <v>30.161924362182617</v>
      </c>
      <c r="Q81" s="16">
        <v>26.262474060058594</v>
      </c>
      <c r="R81" s="16">
        <v>32.218549728393555</v>
      </c>
      <c r="S81" s="16">
        <v>26.370641708374023</v>
      </c>
      <c r="T81" s="16">
        <v>34.365879058837891</v>
      </c>
      <c r="U81" s="16">
        <v>26.33084774017334</v>
      </c>
      <c r="V81" s="10"/>
      <c r="W81" s="15" t="s">
        <v>21</v>
      </c>
      <c r="X81" s="71">
        <v>0.83312416076660156</v>
      </c>
      <c r="Y81" s="71">
        <v>-0.43819046020507812</v>
      </c>
      <c r="Z81" s="71">
        <v>-1.7208185195922852</v>
      </c>
      <c r="AA81" s="71">
        <v>-0.94579982757568359</v>
      </c>
      <c r="AB81" s="71">
        <v>10.147696495056152</v>
      </c>
      <c r="AC81" s="71">
        <v>9.5560464859008789</v>
      </c>
      <c r="AD81" s="71">
        <v>3.8994503021240234</v>
      </c>
      <c r="AE81" s="71">
        <v>5.8479080200195312</v>
      </c>
      <c r="AF81" s="71">
        <v>8.0350313186645508</v>
      </c>
      <c r="AG81" s="72">
        <v>97.1</v>
      </c>
    </row>
    <row r="82" spans="1:33" s="13" customFormat="1" ht="17">
      <c r="A82" s="15" t="s">
        <v>21</v>
      </c>
      <c r="B82" s="15">
        <v>84</v>
      </c>
      <c r="C82" s="15" t="s">
        <v>22</v>
      </c>
      <c r="D82" s="23">
        <v>29.376679420471191</v>
      </c>
      <c r="E82" s="23">
        <v>26.319409370422363</v>
      </c>
      <c r="F82" s="16">
        <v>26.756777763366699</v>
      </c>
      <c r="G82" s="16">
        <v>26.282727241516113</v>
      </c>
      <c r="H82" s="16">
        <v>25.129605293273926</v>
      </c>
      <c r="I82" s="16">
        <v>25.291618347167969</v>
      </c>
      <c r="J82" s="16">
        <v>25.794859886169434</v>
      </c>
      <c r="K82" s="16">
        <v>25.909629821777344</v>
      </c>
      <c r="L82" s="16">
        <v>40</v>
      </c>
      <c r="M82" s="16">
        <v>28.220803260803223</v>
      </c>
      <c r="N82" s="16">
        <v>39.1671142578125</v>
      </c>
      <c r="O82" s="16">
        <v>26.587909698486328</v>
      </c>
      <c r="P82" s="16">
        <v>32.23621940612793</v>
      </c>
      <c r="Q82" s="16">
        <v>26.374734878540039</v>
      </c>
      <c r="R82" s="16">
        <v>34.476358413696289</v>
      </c>
      <c r="S82" s="16">
        <v>26.581405639648438</v>
      </c>
      <c r="T82" s="16">
        <v>36.491004943847656</v>
      </c>
      <c r="U82" s="16">
        <v>26.402435302734375</v>
      </c>
      <c r="V82" s="10"/>
      <c r="W82" s="15" t="s">
        <v>21</v>
      </c>
      <c r="X82" s="71">
        <v>3.0572700500488281</v>
      </c>
      <c r="Y82" s="71">
        <v>0.47405052185058594</v>
      </c>
      <c r="Z82" s="71">
        <v>-0.16201305389404297</v>
      </c>
      <c r="AA82" s="71">
        <v>-0.11476993560791016</v>
      </c>
      <c r="AB82" s="71">
        <v>11.779196739196777</v>
      </c>
      <c r="AC82" s="71">
        <v>12.579204559326172</v>
      </c>
      <c r="AD82" s="71">
        <v>5.8614845275878906</v>
      </c>
      <c r="AE82" s="71">
        <v>7.8949527740478516</v>
      </c>
      <c r="AF82" s="71">
        <v>10.088569641113281</v>
      </c>
      <c r="AG82" s="72">
        <v>84.8</v>
      </c>
    </row>
    <row r="83" spans="1:33" s="13" customFormat="1" ht="17">
      <c r="A83" s="15" t="s">
        <v>21</v>
      </c>
      <c r="B83" s="15">
        <v>84</v>
      </c>
      <c r="C83" s="15" t="s">
        <v>22</v>
      </c>
      <c r="D83" s="23">
        <v>25.949223518371582</v>
      </c>
      <c r="E83" s="23">
        <v>25.58079719543457</v>
      </c>
      <c r="F83" s="16">
        <v>24.747450828552246</v>
      </c>
      <c r="G83" s="16">
        <v>25.505184173583984</v>
      </c>
      <c r="H83" s="16">
        <v>23.36838436126709</v>
      </c>
      <c r="I83" s="16">
        <v>24.468635559082031</v>
      </c>
      <c r="J83" s="16">
        <v>26.312516212463379</v>
      </c>
      <c r="K83" s="16">
        <v>25.363142967224121</v>
      </c>
      <c r="L83" s="16">
        <v>37.682859420776367</v>
      </c>
      <c r="M83" s="16">
        <v>27.449424743652344</v>
      </c>
      <c r="N83" s="16">
        <v>35.397262573242188</v>
      </c>
      <c r="O83" s="16">
        <v>25.725214004516602</v>
      </c>
      <c r="P83" s="16">
        <v>32.031824111938477</v>
      </c>
      <c r="Q83" s="16">
        <v>25.744060516357422</v>
      </c>
      <c r="R83" s="16">
        <v>31.154293060302734</v>
      </c>
      <c r="S83" s="16">
        <v>25.707457542419434</v>
      </c>
      <c r="T83" s="16">
        <v>33.197694778442383</v>
      </c>
      <c r="U83" s="16">
        <v>25.573418617248535</v>
      </c>
      <c r="V83" s="10"/>
      <c r="W83" s="15" t="s">
        <v>21</v>
      </c>
      <c r="X83" s="71">
        <v>0.36842632293701172</v>
      </c>
      <c r="Y83" s="71">
        <v>-0.75773334503173828</v>
      </c>
      <c r="Z83" s="71">
        <v>-1.1002511978149414</v>
      </c>
      <c r="AA83" s="71">
        <v>0.94937324523925781</v>
      </c>
      <c r="AB83" s="71">
        <v>10.233434677124023</v>
      </c>
      <c r="AC83" s="71">
        <v>9.6720485687255859</v>
      </c>
      <c r="AD83" s="71">
        <v>6.2877635955810547</v>
      </c>
      <c r="AE83" s="71">
        <v>5.4468355178833008</v>
      </c>
      <c r="AF83" s="71">
        <v>7.6242761611938477</v>
      </c>
      <c r="AG83" s="72">
        <v>90.7</v>
      </c>
    </row>
    <row r="84" spans="1:33" s="13" customFormat="1" ht="17">
      <c r="A84" s="15" t="s">
        <v>21</v>
      </c>
      <c r="B84" s="15">
        <v>85</v>
      </c>
      <c r="C84" s="15" t="s">
        <v>22</v>
      </c>
      <c r="D84" s="23">
        <v>27.796683311462402</v>
      </c>
      <c r="E84" s="23">
        <v>27.48058032989502</v>
      </c>
      <c r="F84" s="16">
        <v>26.505664825439453</v>
      </c>
      <c r="G84" s="16">
        <v>27.432094573974609</v>
      </c>
      <c r="H84" s="16">
        <v>26.604137420654297</v>
      </c>
      <c r="I84" s="16">
        <v>26.438481330871582</v>
      </c>
      <c r="J84" s="16">
        <v>25.711733818054199</v>
      </c>
      <c r="K84" s="16">
        <v>26.947299957275391</v>
      </c>
      <c r="L84" s="16">
        <v>39.254856109619141</v>
      </c>
      <c r="M84" s="16">
        <v>29.347429275512695</v>
      </c>
      <c r="N84" s="16">
        <v>38.378025054931641</v>
      </c>
      <c r="O84" s="16">
        <v>27.616907119750977</v>
      </c>
      <c r="P84" s="16">
        <v>32.433622360229492</v>
      </c>
      <c r="Q84" s="16">
        <v>27.526005744934082</v>
      </c>
      <c r="R84" s="16">
        <v>32.875356674194336</v>
      </c>
      <c r="S84" s="16">
        <v>27.619265556335449</v>
      </c>
      <c r="T84" s="16">
        <v>35.132743835449219</v>
      </c>
      <c r="U84" s="16">
        <v>27.584223747253418</v>
      </c>
      <c r="V84" s="10"/>
      <c r="W84" s="15" t="s">
        <v>21</v>
      </c>
      <c r="X84" s="71">
        <v>0.31610298156738281</v>
      </c>
      <c r="Y84" s="71">
        <v>-0.92642974853515625</v>
      </c>
      <c r="Z84" s="71">
        <v>0.16565608978271484</v>
      </c>
      <c r="AA84" s="71">
        <v>-1.2355661392211914</v>
      </c>
      <c r="AB84" s="71">
        <v>9.9074268341064453</v>
      </c>
      <c r="AC84" s="71">
        <v>10.761117935180664</v>
      </c>
      <c r="AD84" s="71">
        <v>4.9076166152954102</v>
      </c>
      <c r="AE84" s="71">
        <v>5.2560911178588867</v>
      </c>
      <c r="AF84" s="71">
        <v>7.5485200881958008</v>
      </c>
      <c r="AG84" s="72">
        <v>95.2</v>
      </c>
    </row>
    <row r="85" spans="1:33" s="13" customFormat="1" ht="17">
      <c r="A85" s="15" t="s">
        <v>21</v>
      </c>
      <c r="B85" s="15">
        <v>85</v>
      </c>
      <c r="C85" s="15" t="s">
        <v>22</v>
      </c>
      <c r="D85" s="23">
        <v>29.899239540100098</v>
      </c>
      <c r="E85" s="23">
        <v>26.782748222351074</v>
      </c>
      <c r="F85" s="16">
        <v>27.27164363861084</v>
      </c>
      <c r="G85" s="16">
        <v>26.70714282989502</v>
      </c>
      <c r="H85" s="16">
        <v>23.993029594421387</v>
      </c>
      <c r="I85" s="16">
        <v>25.525618553161621</v>
      </c>
      <c r="J85" s="16">
        <v>25.855335235595703</v>
      </c>
      <c r="K85" s="16">
        <v>26.194774627685547</v>
      </c>
      <c r="L85" s="16">
        <v>40</v>
      </c>
      <c r="M85" s="16">
        <v>28.533699989318848</v>
      </c>
      <c r="N85" s="16">
        <v>39.403221130371094</v>
      </c>
      <c r="O85" s="16">
        <v>26.696857452392578</v>
      </c>
      <c r="P85" s="16">
        <v>32.553316116333008</v>
      </c>
      <c r="Q85" s="16">
        <v>26.676873207092285</v>
      </c>
      <c r="R85" s="16">
        <v>34.963918685913086</v>
      </c>
      <c r="S85" s="16">
        <v>26.777939796447754</v>
      </c>
      <c r="T85" s="16">
        <v>36.979085922241211</v>
      </c>
      <c r="U85" s="16">
        <v>26.869993209838867</v>
      </c>
      <c r="V85" s="10"/>
      <c r="W85" s="15" t="s">
        <v>21</v>
      </c>
      <c r="X85" s="71">
        <v>3.1164913177490234</v>
      </c>
      <c r="Y85" s="71">
        <v>0.56450080871582031</v>
      </c>
      <c r="Z85" s="71">
        <v>-1.5325889587402344</v>
      </c>
      <c r="AA85" s="71">
        <v>-0.33943939208984375</v>
      </c>
      <c r="AB85" s="71">
        <v>11.466300010681152</v>
      </c>
      <c r="AC85" s="71">
        <v>12.706363677978516</v>
      </c>
      <c r="AD85" s="71">
        <v>5.8764429092407227</v>
      </c>
      <c r="AE85" s="71">
        <v>8.185978889465332</v>
      </c>
      <c r="AF85" s="71">
        <v>10.109092712402344</v>
      </c>
      <c r="AG85" s="72">
        <v>86.2</v>
      </c>
    </row>
    <row r="86" spans="1:33" s="13" customFormat="1" ht="17">
      <c r="A86" s="15" t="s">
        <v>21</v>
      </c>
      <c r="B86" s="15">
        <v>85</v>
      </c>
      <c r="C86" s="15" t="s">
        <v>22</v>
      </c>
      <c r="D86" s="16">
        <v>30.630071640014648</v>
      </c>
      <c r="E86" s="16">
        <v>26.353775024414062</v>
      </c>
      <c r="F86" s="16">
        <v>26.806018829345703</v>
      </c>
      <c r="G86" s="16">
        <v>26.21989631652832</v>
      </c>
      <c r="H86" s="16">
        <v>25.92220401763916</v>
      </c>
      <c r="I86" s="16">
        <v>25.339635848999023</v>
      </c>
      <c r="J86" s="16">
        <v>25.389344215393066</v>
      </c>
      <c r="K86" s="16">
        <v>25.744035720825195</v>
      </c>
      <c r="L86" s="16">
        <v>39.022518157958984</v>
      </c>
      <c r="M86" s="16">
        <v>28.108107566833496</v>
      </c>
      <c r="N86" s="16">
        <v>39.341266632080078</v>
      </c>
      <c r="O86" s="16">
        <v>26.308089256286621</v>
      </c>
      <c r="P86" s="16">
        <v>31.379887580871582</v>
      </c>
      <c r="Q86" s="16">
        <v>26.255157470703125</v>
      </c>
      <c r="R86" s="16">
        <v>35.188318252563477</v>
      </c>
      <c r="S86" s="16">
        <v>26.421102523803711</v>
      </c>
      <c r="T86" s="16">
        <v>36.594205856323242</v>
      </c>
      <c r="U86" s="16">
        <v>26.287972450256348</v>
      </c>
      <c r="V86" s="10"/>
      <c r="W86" s="15" t="s">
        <v>21</v>
      </c>
      <c r="X86" s="71">
        <v>4.2762966156005859</v>
      </c>
      <c r="Y86" s="71">
        <v>0.58612251281738281</v>
      </c>
      <c r="Z86" s="71">
        <v>0.58256816864013672</v>
      </c>
      <c r="AA86" s="71">
        <v>-0.35469150543212891</v>
      </c>
      <c r="AB86" s="71">
        <v>10.914410591125488</v>
      </c>
      <c r="AC86" s="71">
        <v>13.033177375793457</v>
      </c>
      <c r="AD86" s="71">
        <v>5.124730110168457</v>
      </c>
      <c r="AE86" s="71">
        <v>8.7672157287597656</v>
      </c>
      <c r="AF86" s="71">
        <v>10.306233406066895</v>
      </c>
      <c r="AG86" s="72">
        <v>92</v>
      </c>
    </row>
    <row r="87" spans="1:33" s="13" customFormat="1" ht="17">
      <c r="A87" s="15" t="s">
        <v>21</v>
      </c>
      <c r="B87" s="15">
        <v>70</v>
      </c>
      <c r="C87" s="15" t="s">
        <v>22</v>
      </c>
      <c r="D87" s="16">
        <v>29.63352108001709</v>
      </c>
      <c r="E87" s="16">
        <v>26.324705123901367</v>
      </c>
      <c r="F87" s="16">
        <v>27.098328590393066</v>
      </c>
      <c r="G87" s="16">
        <v>26.384949684143066</v>
      </c>
      <c r="H87" s="16">
        <v>25.363284111022949</v>
      </c>
      <c r="I87" s="16">
        <v>25.268697738647461</v>
      </c>
      <c r="J87" s="16">
        <v>25.878627777099609</v>
      </c>
      <c r="K87" s="16">
        <v>25.957880020141602</v>
      </c>
      <c r="L87" s="16">
        <v>38.904438018798828</v>
      </c>
      <c r="M87" s="16">
        <v>28.316652297973633</v>
      </c>
      <c r="N87" s="16">
        <v>38.463066101074219</v>
      </c>
      <c r="O87" s="16">
        <v>26.463837623596191</v>
      </c>
      <c r="P87" s="16">
        <v>32.237710952758789</v>
      </c>
      <c r="Q87" s="16">
        <v>26.381952285766602</v>
      </c>
      <c r="R87" s="16">
        <v>34.952526092529297</v>
      </c>
      <c r="S87" s="16">
        <v>26.531739234924316</v>
      </c>
      <c r="T87" s="16">
        <v>37.135711669921875</v>
      </c>
      <c r="U87" s="16">
        <v>26.387680053710938</v>
      </c>
      <c r="V87" s="10"/>
      <c r="W87" s="15" t="s">
        <v>21</v>
      </c>
      <c r="X87" s="71">
        <v>3.3088159561157227</v>
      </c>
      <c r="Y87" s="71">
        <v>0.71337890625</v>
      </c>
      <c r="Z87" s="71">
        <v>9.4586372375488281E-2</v>
      </c>
      <c r="AA87" s="71">
        <v>-7.9252243041992188E-2</v>
      </c>
      <c r="AB87" s="71">
        <v>10.587785720825195</v>
      </c>
      <c r="AC87" s="71">
        <v>11.999228477478027</v>
      </c>
      <c r="AD87" s="71">
        <v>5.8557586669921875</v>
      </c>
      <c r="AE87" s="71">
        <v>8.4207868576049805</v>
      </c>
      <c r="AF87" s="71">
        <v>10.748031616210938</v>
      </c>
      <c r="AG87" s="72">
        <v>89.1</v>
      </c>
    </row>
    <row r="88" spans="1:33" s="13" customFormat="1" ht="17">
      <c r="A88" s="15" t="s">
        <v>21</v>
      </c>
      <c r="B88" s="15">
        <v>71</v>
      </c>
      <c r="C88" s="15" t="s">
        <v>22</v>
      </c>
      <c r="D88" s="16">
        <v>27.605560302734375</v>
      </c>
      <c r="E88" s="16">
        <v>26.885430335998535</v>
      </c>
      <c r="F88" s="16">
        <v>26.02558422088623</v>
      </c>
      <c r="G88" s="16">
        <v>26.732179641723633</v>
      </c>
      <c r="H88" s="16">
        <v>23.862088203430176</v>
      </c>
      <c r="I88" s="16">
        <v>25.729118347167969</v>
      </c>
      <c r="J88" s="16">
        <v>24.745360374450684</v>
      </c>
      <c r="K88" s="16">
        <v>26.121026992797852</v>
      </c>
      <c r="L88" s="16">
        <v>37.764070510864258</v>
      </c>
      <c r="M88" s="16">
        <v>28.642152786254883</v>
      </c>
      <c r="N88" s="16">
        <v>35.935583114624023</v>
      </c>
      <c r="O88" s="16">
        <v>26.907784461975098</v>
      </c>
      <c r="P88" s="16">
        <v>30.420462608337402</v>
      </c>
      <c r="Q88" s="16">
        <v>26.946256637573242</v>
      </c>
      <c r="R88" s="16">
        <v>32.627283096313477</v>
      </c>
      <c r="S88" s="16">
        <v>26.966367721557617</v>
      </c>
      <c r="T88" s="16">
        <v>33.826047897338867</v>
      </c>
      <c r="U88" s="16">
        <v>26.767035484313965</v>
      </c>
      <c r="V88" s="10"/>
      <c r="W88" s="15" t="s">
        <v>21</v>
      </c>
      <c r="X88" s="71">
        <v>0.72012996673583984</v>
      </c>
      <c r="Y88" s="71">
        <v>-0.70659542083740234</v>
      </c>
      <c r="Z88" s="71">
        <v>-1.867030143737793</v>
      </c>
      <c r="AA88" s="71">
        <v>-1.375666618347168</v>
      </c>
      <c r="AB88" s="71">
        <v>9.121917724609375</v>
      </c>
      <c r="AC88" s="71">
        <v>9.0277986526489258</v>
      </c>
      <c r="AD88" s="71">
        <v>3.4742059707641602</v>
      </c>
      <c r="AE88" s="71">
        <v>5.6609153747558594</v>
      </c>
      <c r="AF88" s="71">
        <v>7.0590124130249023</v>
      </c>
      <c r="AG88" s="72">
        <v>98.3</v>
      </c>
    </row>
    <row r="89" spans="1:33" s="13" customFormat="1" ht="17">
      <c r="A89" s="15" t="s">
        <v>21</v>
      </c>
      <c r="B89" s="15">
        <v>72</v>
      </c>
      <c r="C89" s="15" t="s">
        <v>22</v>
      </c>
      <c r="D89" s="16">
        <v>27.403627395629883</v>
      </c>
      <c r="E89" s="16">
        <v>26.86603832244873</v>
      </c>
      <c r="F89" s="16">
        <v>26.076554298400879</v>
      </c>
      <c r="G89" s="16">
        <v>26.804103851318359</v>
      </c>
      <c r="H89" s="16">
        <v>25.008384704589844</v>
      </c>
      <c r="I89" s="16">
        <v>25.677643775939941</v>
      </c>
      <c r="J89" s="16">
        <v>25.901707649230957</v>
      </c>
      <c r="K89" s="16">
        <v>26.440237045288086</v>
      </c>
      <c r="L89" s="16">
        <v>39.29554557800293</v>
      </c>
      <c r="M89" s="16">
        <v>28.622756958007812</v>
      </c>
      <c r="N89" s="16">
        <v>36.251737594604492</v>
      </c>
      <c r="O89" s="16">
        <v>26.918867111206055</v>
      </c>
      <c r="P89" s="16">
        <v>31.565641403198242</v>
      </c>
      <c r="Q89" s="16">
        <v>26.84058952331543</v>
      </c>
      <c r="R89" s="16">
        <v>32.509504318237305</v>
      </c>
      <c r="S89" s="16">
        <v>26.964386940002441</v>
      </c>
      <c r="T89" s="16">
        <v>34.914138793945312</v>
      </c>
      <c r="U89" s="16">
        <v>26.925631523132324</v>
      </c>
      <c r="V89" s="10"/>
      <c r="W89" s="15" t="s">
        <v>21</v>
      </c>
      <c r="X89" s="71">
        <v>0.53758907318115234</v>
      </c>
      <c r="Y89" s="71">
        <v>-0.72754955291748047</v>
      </c>
      <c r="Z89" s="71">
        <v>-0.66925907135009766</v>
      </c>
      <c r="AA89" s="71">
        <v>-0.53852939605712891</v>
      </c>
      <c r="AB89" s="71">
        <v>10.672788619995117</v>
      </c>
      <c r="AC89" s="71">
        <v>9.3328704833984375</v>
      </c>
      <c r="AD89" s="71">
        <v>4.7250518798828125</v>
      </c>
      <c r="AE89" s="71">
        <v>5.5451173782348633</v>
      </c>
      <c r="AF89" s="71">
        <v>7.9885072708129883</v>
      </c>
      <c r="AG89" s="72">
        <v>94.8</v>
      </c>
    </row>
    <row r="90" spans="1:33" s="13" customFormat="1" ht="17">
      <c r="A90" s="15" t="s">
        <v>21</v>
      </c>
      <c r="B90" s="15">
        <v>73</v>
      </c>
      <c r="C90" s="15" t="s">
        <v>22</v>
      </c>
      <c r="D90" s="16">
        <v>27.409976959228516</v>
      </c>
      <c r="E90" s="16">
        <v>26.192185401916504</v>
      </c>
      <c r="F90" s="16">
        <v>25.788897514343262</v>
      </c>
      <c r="G90" s="16">
        <v>26.101574897766113</v>
      </c>
      <c r="H90" s="16">
        <v>24.54517650604248</v>
      </c>
      <c r="I90" s="16">
        <v>25.058680534362793</v>
      </c>
      <c r="J90" s="16">
        <v>25.651646614074707</v>
      </c>
      <c r="K90" s="16">
        <v>25.789234161376953</v>
      </c>
      <c r="L90" s="16">
        <v>38.587230682373047</v>
      </c>
      <c r="M90" s="16">
        <v>27.941974639892578</v>
      </c>
      <c r="N90" s="16">
        <v>36.268108367919922</v>
      </c>
      <c r="O90" s="16">
        <v>26.173456192016602</v>
      </c>
      <c r="P90" s="16">
        <v>31.70405387878418</v>
      </c>
      <c r="Q90" s="16">
        <v>26.088592529296875</v>
      </c>
      <c r="R90" s="16">
        <v>32.800151824951172</v>
      </c>
      <c r="S90" s="16">
        <v>26.219967842102051</v>
      </c>
      <c r="T90" s="16">
        <v>34.443191528320312</v>
      </c>
      <c r="U90" s="16">
        <v>26.315637588500977</v>
      </c>
      <c r="V90" s="10"/>
      <c r="W90" s="15" t="s">
        <v>21</v>
      </c>
      <c r="X90" s="71">
        <v>1.2177915573120117</v>
      </c>
      <c r="Y90" s="71">
        <v>-0.31267738342285156</v>
      </c>
      <c r="Z90" s="71">
        <v>-0.5135040283203125</v>
      </c>
      <c r="AA90" s="71">
        <v>-0.13758754730224609</v>
      </c>
      <c r="AB90" s="71">
        <v>10.645256042480469</v>
      </c>
      <c r="AC90" s="71">
        <v>10.09465217590332</v>
      </c>
      <c r="AD90" s="71">
        <v>5.6154613494873047</v>
      </c>
      <c r="AE90" s="71">
        <v>6.5801839828491211</v>
      </c>
      <c r="AF90" s="71">
        <v>8.1275539398193359</v>
      </c>
      <c r="AG90" s="72">
        <v>90.2</v>
      </c>
    </row>
    <row r="91" spans="1:33" s="13" customFormat="1" ht="17">
      <c r="A91" s="15" t="s">
        <v>21</v>
      </c>
      <c r="B91" s="15">
        <v>76</v>
      </c>
      <c r="C91" s="15" t="s">
        <v>22</v>
      </c>
      <c r="D91" s="16">
        <v>28.946111679077148</v>
      </c>
      <c r="E91" s="16">
        <v>26.031800270080566</v>
      </c>
      <c r="F91" s="16">
        <v>26.563449859619141</v>
      </c>
      <c r="G91" s="16">
        <v>26.046394348144531</v>
      </c>
      <c r="H91" s="16">
        <v>25.089645385742188</v>
      </c>
      <c r="I91" s="16">
        <v>25.109705924987793</v>
      </c>
      <c r="J91" s="16">
        <v>25.703036308288574</v>
      </c>
      <c r="K91" s="16">
        <v>25.78154182434082</v>
      </c>
      <c r="L91" s="16">
        <v>37.540060043334961</v>
      </c>
      <c r="M91" s="16">
        <v>27.996731758117676</v>
      </c>
      <c r="N91" s="16">
        <v>35.131731033325195</v>
      </c>
      <c r="O91" s="16">
        <v>26.12214469909668</v>
      </c>
      <c r="P91" s="16">
        <v>31.888036727905273</v>
      </c>
      <c r="Q91" s="16">
        <v>26.004366874694824</v>
      </c>
      <c r="R91" s="16">
        <v>32.202213287353516</v>
      </c>
      <c r="S91" s="16">
        <v>26.102852821350098</v>
      </c>
      <c r="T91" s="16">
        <v>36.373956680297852</v>
      </c>
      <c r="U91" s="16">
        <v>27.009445190429688</v>
      </c>
      <c r="V91" s="10"/>
      <c r="W91" s="15" t="s">
        <v>21</v>
      </c>
      <c r="X91" s="71">
        <v>2.914311408996582</v>
      </c>
      <c r="Y91" s="71">
        <v>0.51705551147460938</v>
      </c>
      <c r="Z91" s="71">
        <v>-2.0060539245605469E-2</v>
      </c>
      <c r="AA91" s="71">
        <v>-7.8505516052246094E-2</v>
      </c>
      <c r="AB91" s="71">
        <v>9.5433282852172852</v>
      </c>
      <c r="AC91" s="71">
        <v>9.0095863342285156</v>
      </c>
      <c r="AD91" s="71">
        <v>5.8836698532104492</v>
      </c>
      <c r="AE91" s="71">
        <v>6.099360466003418</v>
      </c>
      <c r="AF91" s="71">
        <v>9.3645114898681641</v>
      </c>
      <c r="AG91" s="72">
        <v>89.9</v>
      </c>
    </row>
    <row r="92" spans="1:33" s="13" customFormat="1" ht="17">
      <c r="A92" s="15" t="s">
        <v>21</v>
      </c>
      <c r="B92" s="15">
        <v>78</v>
      </c>
      <c r="C92" s="15" t="s">
        <v>22</v>
      </c>
      <c r="D92" s="16">
        <v>25.23320484161377</v>
      </c>
      <c r="E92" s="16">
        <v>26.297915458679199</v>
      </c>
      <c r="F92" s="16">
        <v>24.409208297729492</v>
      </c>
      <c r="G92" s="16">
        <v>26.168512344360352</v>
      </c>
      <c r="H92" s="16">
        <v>26.015212059020996</v>
      </c>
      <c r="I92" s="16">
        <v>25.566704750061035</v>
      </c>
      <c r="J92" s="16">
        <v>24.754944801330566</v>
      </c>
      <c r="K92" s="16">
        <v>25.904403686523438</v>
      </c>
      <c r="L92" s="16">
        <v>35.585844039916992</v>
      </c>
      <c r="M92" s="16">
        <v>28.17974853515625</v>
      </c>
      <c r="N92" s="16">
        <v>30.809572219848633</v>
      </c>
      <c r="O92" s="16">
        <v>26.480562210083008</v>
      </c>
      <c r="P92" s="16">
        <v>31.391861915588379</v>
      </c>
      <c r="Q92" s="16">
        <v>26.570085525512695</v>
      </c>
      <c r="R92" s="16">
        <v>28.479434013366699</v>
      </c>
      <c r="S92" s="16">
        <v>26.137828826904297</v>
      </c>
      <c r="T92" s="16">
        <v>32.47972297668457</v>
      </c>
      <c r="U92" s="16">
        <v>26.481058120727539</v>
      </c>
      <c r="V92" s="10"/>
      <c r="W92" s="15" t="s">
        <v>21</v>
      </c>
      <c r="X92" s="71">
        <v>-1.0647106170654297</v>
      </c>
      <c r="Y92" s="71">
        <v>-1.7593040466308594</v>
      </c>
      <c r="Z92" s="71">
        <v>0.44850730895996094</v>
      </c>
      <c r="AA92" s="71">
        <v>-1.1494588851928711</v>
      </c>
      <c r="AB92" s="71">
        <v>7.4060955047607422</v>
      </c>
      <c r="AC92" s="71">
        <v>4.329010009765625</v>
      </c>
      <c r="AD92" s="71">
        <v>4.8217763900756836</v>
      </c>
      <c r="AE92" s="71">
        <v>2.3416051864624023</v>
      </c>
      <c r="AF92" s="71">
        <v>5.9986648559570312</v>
      </c>
      <c r="AG92" s="72">
        <v>97.6</v>
      </c>
    </row>
    <row r="93" spans="1:33" s="13" customFormat="1" ht="17">
      <c r="A93" s="15" t="s">
        <v>21</v>
      </c>
      <c r="B93" s="15">
        <v>78</v>
      </c>
      <c r="C93" s="15" t="s">
        <v>22</v>
      </c>
      <c r="D93" s="16">
        <v>27.732075691223145</v>
      </c>
      <c r="E93" s="16">
        <v>26.804024696350098</v>
      </c>
      <c r="F93" s="16">
        <v>26.601110458374023</v>
      </c>
      <c r="G93" s="16">
        <v>26.817532539367676</v>
      </c>
      <c r="H93" s="16">
        <v>25.452696800231934</v>
      </c>
      <c r="I93" s="16">
        <v>25.831515312194824</v>
      </c>
      <c r="J93" s="16">
        <v>24.742486953735352</v>
      </c>
      <c r="K93" s="16">
        <v>26.209623336791992</v>
      </c>
      <c r="L93" s="16">
        <v>38.023500442504883</v>
      </c>
      <c r="M93" s="16">
        <v>28.583782196044922</v>
      </c>
      <c r="N93" s="16">
        <v>34.854793548583984</v>
      </c>
      <c r="O93" s="16">
        <v>26.851966857910156</v>
      </c>
      <c r="P93" s="16">
        <v>31.359580993652344</v>
      </c>
      <c r="Q93" s="16">
        <v>26.856749534606934</v>
      </c>
      <c r="R93" s="16">
        <v>31.960832595825195</v>
      </c>
      <c r="S93" s="16">
        <v>26.886000633239746</v>
      </c>
      <c r="T93" s="16">
        <v>34.389566421508789</v>
      </c>
      <c r="U93" s="16">
        <v>26.839048385620117</v>
      </c>
      <c r="V93" s="10"/>
      <c r="W93" s="15" t="s">
        <v>21</v>
      </c>
      <c r="X93" s="71">
        <v>0.92805099487304688</v>
      </c>
      <c r="Y93" s="71">
        <v>-0.21642208099365234</v>
      </c>
      <c r="Z93" s="71">
        <v>-0.37881851196289062</v>
      </c>
      <c r="AA93" s="71">
        <v>-1.4671363830566406</v>
      </c>
      <c r="AB93" s="71">
        <v>9.4397182464599609</v>
      </c>
      <c r="AC93" s="71">
        <v>8.0028266906738281</v>
      </c>
      <c r="AD93" s="71">
        <v>4.5028314590454102</v>
      </c>
      <c r="AE93" s="71">
        <v>5.0748319625854492</v>
      </c>
      <c r="AF93" s="71">
        <v>7.5505180358886719</v>
      </c>
      <c r="AG93" s="72">
        <v>94.9</v>
      </c>
    </row>
    <row r="94" spans="1:33" s="13" customFormat="1" ht="17">
      <c r="A94" s="15" t="s">
        <v>21</v>
      </c>
      <c r="B94" s="15">
        <v>78</v>
      </c>
      <c r="C94" s="15" t="s">
        <v>22</v>
      </c>
      <c r="D94" s="16">
        <v>27.040487289428711</v>
      </c>
      <c r="E94" s="16">
        <v>26.950830459594727</v>
      </c>
      <c r="F94" s="16">
        <v>25.875887870788574</v>
      </c>
      <c r="G94" s="16">
        <v>26.898736000061035</v>
      </c>
      <c r="H94" s="16">
        <v>26.152729988098145</v>
      </c>
      <c r="I94" s="16">
        <v>25.984131813049316</v>
      </c>
      <c r="J94" s="16">
        <v>25.566971778869629</v>
      </c>
      <c r="K94" s="16">
        <v>26.499512672424316</v>
      </c>
      <c r="L94" s="16">
        <v>38.006902694702148</v>
      </c>
      <c r="M94" s="16">
        <v>28.767959594726562</v>
      </c>
      <c r="N94" s="16">
        <v>33.950174331665039</v>
      </c>
      <c r="O94" s="16">
        <v>27.007255554199219</v>
      </c>
      <c r="P94" s="16">
        <v>31.411953926086426</v>
      </c>
      <c r="Q94" s="16">
        <v>26.969813346862793</v>
      </c>
      <c r="R94" s="16">
        <v>31.334027290344238</v>
      </c>
      <c r="S94" s="16">
        <v>26.991971015930176</v>
      </c>
      <c r="T94" s="16">
        <v>33.639471054077148</v>
      </c>
      <c r="U94" s="16">
        <v>27.017863273620605</v>
      </c>
      <c r="V94" s="10"/>
      <c r="W94" s="15" t="s">
        <v>21</v>
      </c>
      <c r="X94" s="71">
        <v>8.9656829833984375E-2</v>
      </c>
      <c r="Y94" s="71">
        <v>-1.0228481292724609</v>
      </c>
      <c r="Z94" s="71">
        <v>0.16859817504882812</v>
      </c>
      <c r="AA94" s="71">
        <v>-0.9325408935546875</v>
      </c>
      <c r="AB94" s="71">
        <v>9.2389430999755859</v>
      </c>
      <c r="AC94" s="71">
        <v>6.9429187774658203</v>
      </c>
      <c r="AD94" s="71">
        <v>4.4421405792236328</v>
      </c>
      <c r="AE94" s="71">
        <v>4.3420562744140625</v>
      </c>
      <c r="AF94" s="71">
        <v>6.621607780456543</v>
      </c>
      <c r="AG94" s="72">
        <v>96.3</v>
      </c>
    </row>
    <row r="95" spans="1:33" s="13" customFormat="1" ht="17">
      <c r="A95" s="15" t="s">
        <v>21</v>
      </c>
      <c r="B95" s="15">
        <v>79</v>
      </c>
      <c r="C95" s="15" t="s">
        <v>22</v>
      </c>
      <c r="D95" s="16">
        <v>25.181882858276367</v>
      </c>
      <c r="E95" s="16">
        <v>24.917843818664551</v>
      </c>
      <c r="F95" s="16">
        <v>24.54371452331543</v>
      </c>
      <c r="G95" s="16">
        <v>24.904994964599609</v>
      </c>
      <c r="H95" s="16">
        <v>23.265520095825195</v>
      </c>
      <c r="I95" s="16">
        <v>23.925862312316895</v>
      </c>
      <c r="J95" s="16">
        <v>24.040387153625488</v>
      </c>
      <c r="K95" s="16">
        <v>24.518239974975586</v>
      </c>
      <c r="L95" s="16">
        <v>37.386938095092773</v>
      </c>
      <c r="M95" s="16">
        <v>26.594034194946289</v>
      </c>
      <c r="N95" s="16">
        <v>31.995600700378418</v>
      </c>
      <c r="O95" s="16">
        <v>24.965904235839844</v>
      </c>
      <c r="P95" s="16">
        <v>30.579924583435059</v>
      </c>
      <c r="Q95" s="16">
        <v>24.945425033569336</v>
      </c>
      <c r="R95" s="16">
        <v>29.462709426879883</v>
      </c>
      <c r="S95" s="16">
        <v>24.98065185546875</v>
      </c>
      <c r="T95" s="16">
        <v>32.668100357055664</v>
      </c>
      <c r="U95" s="16">
        <v>25.025562286376953</v>
      </c>
      <c r="V95" s="10"/>
      <c r="W95" s="15" t="s">
        <v>21</v>
      </c>
      <c r="X95" s="71">
        <v>0.26403903961181641</v>
      </c>
      <c r="Y95" s="71">
        <v>-0.36128044128417969</v>
      </c>
      <c r="Z95" s="71">
        <v>-0.66034221649169922</v>
      </c>
      <c r="AA95" s="71">
        <v>-0.47785282135009766</v>
      </c>
      <c r="AB95" s="71">
        <v>10.792903900146484</v>
      </c>
      <c r="AC95" s="71">
        <v>7.0296964645385742</v>
      </c>
      <c r="AD95" s="71">
        <v>5.6344995498657227</v>
      </c>
      <c r="AE95" s="71">
        <v>4.4820575714111328</v>
      </c>
      <c r="AF95" s="71">
        <v>7.6425380706787109</v>
      </c>
      <c r="AG95" s="72">
        <v>86.9</v>
      </c>
    </row>
    <row r="96" spans="1:33" s="13" customFormat="1" ht="17">
      <c r="A96" s="15" t="s">
        <v>21</v>
      </c>
      <c r="B96" s="15">
        <v>79</v>
      </c>
      <c r="C96" s="15" t="s">
        <v>22</v>
      </c>
      <c r="D96" s="16">
        <v>26.634117126464844</v>
      </c>
      <c r="E96" s="16">
        <v>26.947179794311523</v>
      </c>
      <c r="F96" s="16">
        <v>25.691093444824219</v>
      </c>
      <c r="G96" s="16">
        <v>26.844820022583008</v>
      </c>
      <c r="H96" s="16">
        <v>24.844274520874023</v>
      </c>
      <c r="I96" s="16">
        <v>25.99407958984375</v>
      </c>
      <c r="J96" s="16">
        <v>25.384274482727051</v>
      </c>
      <c r="K96" s="16">
        <v>26.510470390319824</v>
      </c>
      <c r="L96" s="16">
        <v>37.611684799194336</v>
      </c>
      <c r="M96" s="16">
        <v>29.191937446594238</v>
      </c>
      <c r="N96" s="16">
        <v>33.670202255249023</v>
      </c>
      <c r="O96" s="16">
        <v>26.94694995880127</v>
      </c>
      <c r="P96" s="16">
        <v>31.099947929382324</v>
      </c>
      <c r="Q96" s="16">
        <v>26.956859588623047</v>
      </c>
      <c r="R96" s="16">
        <v>30.63623046875</v>
      </c>
      <c r="S96" s="16">
        <v>26.921858787536621</v>
      </c>
      <c r="T96" s="16">
        <v>33.35406494140625</v>
      </c>
      <c r="U96" s="16">
        <v>26.903937339782715</v>
      </c>
      <c r="V96" s="10"/>
      <c r="W96" s="15" t="s">
        <v>21</v>
      </c>
      <c r="X96" s="71">
        <v>-0.31306266784667969</v>
      </c>
      <c r="Y96" s="71">
        <v>-1.1537265777587891</v>
      </c>
      <c r="Z96" s="71">
        <v>-1.1498050689697266</v>
      </c>
      <c r="AA96" s="71">
        <v>-1.1261959075927734</v>
      </c>
      <c r="AB96" s="71">
        <v>8.4197473526000977</v>
      </c>
      <c r="AC96" s="71">
        <v>6.7232522964477539</v>
      </c>
      <c r="AD96" s="71">
        <v>4.1430883407592773</v>
      </c>
      <c r="AE96" s="71">
        <v>3.7143716812133789</v>
      </c>
      <c r="AF96" s="71">
        <v>6.4501276016235352</v>
      </c>
      <c r="AG96" s="72">
        <v>97.9</v>
      </c>
    </row>
    <row r="97" spans="1:33" s="13" customFormat="1" ht="17">
      <c r="A97" s="15" t="s">
        <v>21</v>
      </c>
      <c r="B97" s="15">
        <v>79</v>
      </c>
      <c r="C97" s="15" t="s">
        <v>22</v>
      </c>
      <c r="D97" s="16">
        <v>24.937376976013184</v>
      </c>
      <c r="E97" s="16">
        <v>26.016288757324219</v>
      </c>
      <c r="F97" s="16">
        <v>24.131230354309082</v>
      </c>
      <c r="G97" s="16">
        <v>25.963101387023926</v>
      </c>
      <c r="H97" s="16">
        <v>24.589537620544434</v>
      </c>
      <c r="I97" s="16">
        <v>25.314987182617188</v>
      </c>
      <c r="J97" s="16">
        <v>25.019026756286621</v>
      </c>
      <c r="K97" s="16">
        <v>25.803528785705566</v>
      </c>
      <c r="L97" s="16">
        <v>36.741716384887695</v>
      </c>
      <c r="M97" s="16">
        <v>28.346531867980957</v>
      </c>
      <c r="N97" s="16">
        <v>31.562961578369141</v>
      </c>
      <c r="O97" s="16">
        <v>26.116565704345703</v>
      </c>
      <c r="P97" s="16">
        <v>31.27101993560791</v>
      </c>
      <c r="Q97" s="16">
        <v>26.158647537231445</v>
      </c>
      <c r="R97" s="16">
        <v>28.53412914276123</v>
      </c>
      <c r="S97" s="16">
        <v>25.874367713928223</v>
      </c>
      <c r="T97" s="16">
        <v>32.658376693725586</v>
      </c>
      <c r="U97" s="16">
        <v>26.029900550842285</v>
      </c>
      <c r="V97" s="10"/>
      <c r="W97" s="15" t="s">
        <v>21</v>
      </c>
      <c r="X97" s="71">
        <v>-1.0789117813110352</v>
      </c>
      <c r="Y97" s="71">
        <v>-1.8318710327148438</v>
      </c>
      <c r="Z97" s="71">
        <v>-0.72544956207275391</v>
      </c>
      <c r="AA97" s="71">
        <v>-0.78450202941894531</v>
      </c>
      <c r="AB97" s="71">
        <v>8.3951845169067383</v>
      </c>
      <c r="AC97" s="71">
        <v>5.4463958740234375</v>
      </c>
      <c r="AD97" s="71">
        <v>5.1123723983764648</v>
      </c>
      <c r="AE97" s="71">
        <v>2.6597614288330078</v>
      </c>
      <c r="AF97" s="71">
        <v>6.6284761428833008</v>
      </c>
      <c r="AG97" s="72">
        <v>97.1</v>
      </c>
    </row>
    <row r="98" spans="1:33" s="13" customFormat="1" ht="17">
      <c r="A98" s="15" t="s">
        <v>21</v>
      </c>
      <c r="B98" s="15">
        <v>79</v>
      </c>
      <c r="C98" s="15" t="s">
        <v>22</v>
      </c>
      <c r="D98" s="16">
        <v>29.133338928222656</v>
      </c>
      <c r="E98" s="16">
        <v>27.3397216796875</v>
      </c>
      <c r="F98" s="16">
        <v>26.698147773742676</v>
      </c>
      <c r="G98" s="16">
        <v>27.242260932922363</v>
      </c>
      <c r="H98" s="16">
        <v>26.608391761779785</v>
      </c>
      <c r="I98" s="16">
        <v>26.39357852935791</v>
      </c>
      <c r="J98" s="16">
        <v>27.647564888000488</v>
      </c>
      <c r="K98" s="16">
        <v>27.172492027282715</v>
      </c>
      <c r="L98" s="16">
        <v>39.732629776000977</v>
      </c>
      <c r="M98" s="16">
        <v>29.591161727905273</v>
      </c>
      <c r="N98" s="16">
        <v>36.511615753173828</v>
      </c>
      <c r="O98" s="16">
        <v>27.295108795166016</v>
      </c>
      <c r="P98" s="16">
        <v>34.613740921020508</v>
      </c>
      <c r="Q98" s="16">
        <v>27.317411422729492</v>
      </c>
      <c r="R98" s="16">
        <v>33.212806701660156</v>
      </c>
      <c r="S98" s="16">
        <v>27.420886039733887</v>
      </c>
      <c r="T98" s="16">
        <v>35.954822540283203</v>
      </c>
      <c r="U98" s="16">
        <v>27.163358688354492</v>
      </c>
      <c r="V98" s="10"/>
      <c r="W98" s="15" t="s">
        <v>21</v>
      </c>
      <c r="X98" s="71">
        <v>1.7936172485351562</v>
      </c>
      <c r="Y98" s="71">
        <v>-0.5441131591796875</v>
      </c>
      <c r="Z98" s="71">
        <v>0.214813232421875</v>
      </c>
      <c r="AA98" s="71">
        <v>0.47507286071777344</v>
      </c>
      <c r="AB98" s="71">
        <v>10.141468048095703</v>
      </c>
      <c r="AC98" s="71">
        <v>9.2165069580078125</v>
      </c>
      <c r="AD98" s="71">
        <v>7.2963294982910156</v>
      </c>
      <c r="AE98" s="71">
        <v>5.7919206619262695</v>
      </c>
      <c r="AF98" s="71">
        <v>8.7914638519287109</v>
      </c>
      <c r="AG98" s="72">
        <v>81.599999999999994</v>
      </c>
    </row>
    <row r="99" spans="1:33" s="13" customFormat="1" ht="17">
      <c r="A99" s="15" t="s">
        <v>21</v>
      </c>
      <c r="B99" s="15">
        <v>79</v>
      </c>
      <c r="C99" s="15" t="s">
        <v>22</v>
      </c>
      <c r="D99" s="16">
        <v>25.414676666259766</v>
      </c>
      <c r="E99" s="16">
        <v>25.679874420166016</v>
      </c>
      <c r="F99" s="16">
        <v>22.428065299987793</v>
      </c>
      <c r="G99" s="16">
        <v>25.192290306091309</v>
      </c>
      <c r="H99" s="16">
        <v>24.506311416625977</v>
      </c>
      <c r="I99" s="16">
        <v>24.734127998352051</v>
      </c>
      <c r="J99" s="16">
        <v>25.929472923278809</v>
      </c>
      <c r="K99" s="16">
        <v>25.617541313171387</v>
      </c>
      <c r="L99" s="16">
        <v>39.608434677124023</v>
      </c>
      <c r="M99" s="16">
        <v>27.793721199035645</v>
      </c>
      <c r="N99" s="16">
        <v>32.673654556274414</v>
      </c>
      <c r="O99" s="16">
        <v>25.723370552062988</v>
      </c>
      <c r="P99" s="16">
        <v>32.136770248413086</v>
      </c>
      <c r="Q99" s="16">
        <v>25.804987907409668</v>
      </c>
      <c r="R99" s="16">
        <v>29.615959167480469</v>
      </c>
      <c r="S99" s="16">
        <v>25.653286933898926</v>
      </c>
      <c r="T99" s="16">
        <v>33.11561393737793</v>
      </c>
      <c r="U99" s="16">
        <v>25.649614334106445</v>
      </c>
      <c r="V99" s="10"/>
      <c r="W99" s="15" t="s">
        <v>21</v>
      </c>
      <c r="X99" s="71">
        <v>-0.26519775390625</v>
      </c>
      <c r="Y99" s="71">
        <v>-2.7642250061035156</v>
      </c>
      <c r="Z99" s="71">
        <v>-0.22781658172607422</v>
      </c>
      <c r="AA99" s="71">
        <v>0.31193161010742188</v>
      </c>
      <c r="AB99" s="71">
        <v>11.814713478088379</v>
      </c>
      <c r="AC99" s="71">
        <v>6.9502840042114258</v>
      </c>
      <c r="AD99" s="71">
        <v>6.331782341003418</v>
      </c>
      <c r="AE99" s="71">
        <v>3.962672233581543</v>
      </c>
      <c r="AF99" s="71">
        <v>7.4659996032714844</v>
      </c>
      <c r="AG99" s="72">
        <v>89.9</v>
      </c>
    </row>
    <row r="100" spans="1:33" s="13" customFormat="1" ht="17">
      <c r="A100" s="15" t="s">
        <v>21</v>
      </c>
      <c r="B100" s="15">
        <v>80</v>
      </c>
      <c r="C100" s="15" t="s">
        <v>22</v>
      </c>
      <c r="D100" s="16">
        <v>26.643459320068359</v>
      </c>
      <c r="E100" s="16">
        <v>27.459938049316406</v>
      </c>
      <c r="F100" s="16">
        <v>25.761967658996582</v>
      </c>
      <c r="G100" s="16">
        <v>27.361462593078613</v>
      </c>
      <c r="H100" s="16">
        <v>25.795449256896973</v>
      </c>
      <c r="I100" s="16">
        <v>26.579165458679199</v>
      </c>
      <c r="J100" s="16">
        <v>26.218052864074707</v>
      </c>
      <c r="K100" s="16">
        <v>27.064212799072266</v>
      </c>
      <c r="L100" s="16">
        <v>37.577608108520508</v>
      </c>
      <c r="M100" s="16">
        <v>29.700656890869141</v>
      </c>
      <c r="N100" s="16">
        <v>33.586244583129883</v>
      </c>
      <c r="O100" s="16">
        <v>27.459466934204102</v>
      </c>
      <c r="P100" s="16">
        <v>32.138925552368164</v>
      </c>
      <c r="Q100" s="16">
        <v>27.518471717834473</v>
      </c>
      <c r="R100" s="16">
        <v>30.663676261901855</v>
      </c>
      <c r="S100" s="16">
        <v>27.378620147705078</v>
      </c>
      <c r="T100" s="16">
        <v>33.083700180053711</v>
      </c>
      <c r="U100" s="16">
        <v>27.527919769287109</v>
      </c>
      <c r="V100" s="10"/>
      <c r="W100" s="15" t="s">
        <v>21</v>
      </c>
      <c r="X100" s="71">
        <v>-0.81647872924804688</v>
      </c>
      <c r="Y100" s="71">
        <v>-1.5994949340820312</v>
      </c>
      <c r="Z100" s="71">
        <v>-0.78371620178222656</v>
      </c>
      <c r="AA100" s="71">
        <v>-0.84615993499755859</v>
      </c>
      <c r="AB100" s="71">
        <v>7.8769512176513672</v>
      </c>
      <c r="AC100" s="71">
        <v>6.1267776489257812</v>
      </c>
      <c r="AD100" s="71">
        <v>4.6204538345336914</v>
      </c>
      <c r="AE100" s="71">
        <v>3.2850561141967773</v>
      </c>
      <c r="AF100" s="71">
        <v>5.5557804107666016</v>
      </c>
      <c r="AG100" s="72">
        <v>97.8</v>
      </c>
    </row>
    <row r="101" spans="1:33" s="13" customFormat="1" ht="17">
      <c r="A101" s="15" t="s">
        <v>21</v>
      </c>
      <c r="B101" s="15">
        <v>80</v>
      </c>
      <c r="C101" s="15" t="s">
        <v>22</v>
      </c>
      <c r="D101" s="16">
        <v>26.101544380187988</v>
      </c>
      <c r="E101" s="16">
        <v>27.153841018676758</v>
      </c>
      <c r="F101" s="16">
        <v>25.291172027587891</v>
      </c>
      <c r="G101" s="16">
        <v>27.049966812133789</v>
      </c>
      <c r="H101" s="16">
        <v>25.32456111907959</v>
      </c>
      <c r="I101" s="16">
        <v>26.172940254211426</v>
      </c>
      <c r="J101" s="16">
        <v>25.744277954101562</v>
      </c>
      <c r="K101" s="16">
        <v>26.786463737487793</v>
      </c>
      <c r="L101" s="16">
        <v>36.472028732299805</v>
      </c>
      <c r="M101" s="16">
        <v>28.903518676757812</v>
      </c>
      <c r="N101" s="16">
        <v>31.4659423828125</v>
      </c>
      <c r="O101" s="16">
        <v>27.299921035766602</v>
      </c>
      <c r="P101" s="16">
        <v>31.032375335693359</v>
      </c>
      <c r="Q101" s="16">
        <v>27.340609550476074</v>
      </c>
      <c r="R101" s="16">
        <v>29.495944976806641</v>
      </c>
      <c r="S101" s="16">
        <v>27.09000301361084</v>
      </c>
      <c r="T101" s="16">
        <v>33.236164093017578</v>
      </c>
      <c r="U101" s="16">
        <v>27.344646453857422</v>
      </c>
      <c r="V101" s="10"/>
      <c r="W101" s="15" t="s">
        <v>21</v>
      </c>
      <c r="X101" s="71">
        <v>-1.0522966384887695</v>
      </c>
      <c r="Y101" s="71">
        <v>-1.7587947845458984</v>
      </c>
      <c r="Z101" s="71">
        <v>-0.84837913513183594</v>
      </c>
      <c r="AA101" s="71">
        <v>-1.0421857833862305</v>
      </c>
      <c r="AB101" s="71">
        <v>7.5685100555419922</v>
      </c>
      <c r="AC101" s="71">
        <v>4.1660213470458984</v>
      </c>
      <c r="AD101" s="71">
        <v>3.6917657852172852</v>
      </c>
      <c r="AE101" s="71">
        <v>2.4059419631958008</v>
      </c>
      <c r="AF101" s="71">
        <v>5.8915176391601562</v>
      </c>
      <c r="AG101" s="72">
        <v>98.9</v>
      </c>
    </row>
    <row r="102" spans="1:33" s="13" customFormat="1" ht="17">
      <c r="A102" s="15" t="s">
        <v>21</v>
      </c>
      <c r="B102" s="15">
        <v>80</v>
      </c>
      <c r="C102" s="15" t="s">
        <v>22</v>
      </c>
      <c r="D102" s="16">
        <v>25.225398063659668</v>
      </c>
      <c r="E102" s="16">
        <v>26.208621978759766</v>
      </c>
      <c r="F102" s="16">
        <v>24.539259910583496</v>
      </c>
      <c r="G102" s="16">
        <v>26.184769630432129</v>
      </c>
      <c r="H102" s="16">
        <v>23.488992691040039</v>
      </c>
      <c r="I102" s="16">
        <v>25.284558296203613</v>
      </c>
      <c r="J102" s="16">
        <v>24.282536506652832</v>
      </c>
      <c r="K102" s="16">
        <v>25.76119327545166</v>
      </c>
      <c r="L102" s="16">
        <v>35.198535919189453</v>
      </c>
      <c r="M102" s="16">
        <v>27.984987258911133</v>
      </c>
      <c r="N102" s="16">
        <v>30.600488662719727</v>
      </c>
      <c r="O102" s="16">
        <v>26.337285041809082</v>
      </c>
      <c r="P102" s="16">
        <v>29.566084861755371</v>
      </c>
      <c r="Q102" s="16">
        <v>26.394511222839355</v>
      </c>
      <c r="R102" s="16">
        <v>28.749148368835449</v>
      </c>
      <c r="S102" s="16">
        <v>26.09124755859375</v>
      </c>
      <c r="T102" s="16">
        <v>32.237949371337891</v>
      </c>
      <c r="U102" s="16">
        <v>26.271930694580078</v>
      </c>
      <c r="V102" s="10"/>
      <c r="W102" s="15" t="s">
        <v>21</v>
      </c>
      <c r="X102" s="71">
        <v>-0.98322391510009766</v>
      </c>
      <c r="Y102" s="71">
        <v>-1.6455097198486328</v>
      </c>
      <c r="Z102" s="71">
        <v>-1.7955656051635742</v>
      </c>
      <c r="AA102" s="71">
        <v>-1.4786567687988281</v>
      </c>
      <c r="AB102" s="71">
        <v>7.2135486602783203</v>
      </c>
      <c r="AC102" s="71">
        <v>4.2632036209106445</v>
      </c>
      <c r="AD102" s="71">
        <v>3.1715736389160156</v>
      </c>
      <c r="AE102" s="71">
        <v>2.6579008102416992</v>
      </c>
      <c r="AF102" s="71">
        <v>5.9660186767578125</v>
      </c>
      <c r="AG102" s="72">
        <v>99.3</v>
      </c>
    </row>
    <row r="103" spans="1:33" s="13" customFormat="1" ht="17">
      <c r="A103" s="15" t="s">
        <v>21</v>
      </c>
      <c r="B103" s="15">
        <v>80</v>
      </c>
      <c r="C103" s="15" t="s">
        <v>22</v>
      </c>
      <c r="D103" s="16">
        <v>25.688661575317383</v>
      </c>
      <c r="E103" s="16">
        <v>26.613012313842773</v>
      </c>
      <c r="F103" s="16">
        <v>24.905583381652832</v>
      </c>
      <c r="G103" s="16">
        <v>26.48967170715332</v>
      </c>
      <c r="H103" s="16">
        <v>22.480995178222656</v>
      </c>
      <c r="I103" s="16">
        <v>26.042512893676758</v>
      </c>
      <c r="J103" s="16">
        <v>23.672494888305664</v>
      </c>
      <c r="K103" s="16">
        <v>25.953098297119141</v>
      </c>
      <c r="L103" s="16">
        <v>34.743715286254883</v>
      </c>
      <c r="M103" s="16">
        <v>28.414133071899414</v>
      </c>
      <c r="N103" s="16">
        <v>31.575007438659668</v>
      </c>
      <c r="O103" s="16">
        <v>26.821245193481445</v>
      </c>
      <c r="P103" s="16">
        <v>29.71134090423584</v>
      </c>
      <c r="Q103" s="16">
        <v>26.818918228149414</v>
      </c>
      <c r="R103" s="16">
        <v>29.407758712768555</v>
      </c>
      <c r="S103" s="16">
        <v>26.611191749572754</v>
      </c>
      <c r="T103" s="16">
        <v>31.661802291870117</v>
      </c>
      <c r="U103" s="16">
        <v>26.576994895935059</v>
      </c>
      <c r="V103" s="10"/>
      <c r="W103" s="15" t="s">
        <v>21</v>
      </c>
      <c r="X103" s="71">
        <v>-0.92435073852539062</v>
      </c>
      <c r="Y103" s="71">
        <v>-1.5840883255004883</v>
      </c>
      <c r="Z103" s="71">
        <v>-3.5615177154541016</v>
      </c>
      <c r="AA103" s="71">
        <v>-2.2806034088134766</v>
      </c>
      <c r="AB103" s="71">
        <v>6.3295822143554688</v>
      </c>
      <c r="AC103" s="71">
        <v>4.7537622451782227</v>
      </c>
      <c r="AD103" s="71">
        <v>2.8924226760864258</v>
      </c>
      <c r="AE103" s="71">
        <v>2.7965669631958008</v>
      </c>
      <c r="AF103" s="71">
        <v>5.0848073959350586</v>
      </c>
      <c r="AG103" s="72">
        <v>99.5</v>
      </c>
    </row>
    <row r="104" spans="1:33" s="13" customFormat="1" ht="17">
      <c r="A104" s="15" t="s">
        <v>21</v>
      </c>
      <c r="B104" s="15">
        <v>81</v>
      </c>
      <c r="C104" s="15" t="s">
        <v>22</v>
      </c>
      <c r="D104" s="16">
        <v>26.516446113586426</v>
      </c>
      <c r="E104" s="16">
        <v>28.288240432739258</v>
      </c>
      <c r="F104" s="16">
        <v>25.602619171142578</v>
      </c>
      <c r="G104" s="16">
        <v>28.117401123046875</v>
      </c>
      <c r="H104" s="16">
        <v>27.46225643157959</v>
      </c>
      <c r="I104" s="16">
        <v>27.500782012939453</v>
      </c>
      <c r="J104" s="16">
        <v>25.837055206298828</v>
      </c>
      <c r="K104" s="16">
        <v>27.864261627197266</v>
      </c>
      <c r="L104" s="16">
        <v>37.566448211669922</v>
      </c>
      <c r="M104" s="16">
        <v>30.130324363708496</v>
      </c>
      <c r="N104" s="16">
        <v>31.956604957580566</v>
      </c>
      <c r="O104" s="16">
        <v>28.517661094665527</v>
      </c>
      <c r="P104" s="16">
        <v>32.413198471069336</v>
      </c>
      <c r="Q104" s="16">
        <v>28.579584121704102</v>
      </c>
      <c r="R104" s="16">
        <v>29.75322151184082</v>
      </c>
      <c r="S104" s="16">
        <v>28.06233024597168</v>
      </c>
      <c r="T104" s="16">
        <v>33.09185791015625</v>
      </c>
      <c r="U104" s="16">
        <v>28.44895076751709</v>
      </c>
      <c r="V104" s="10"/>
      <c r="W104" s="15" t="s">
        <v>21</v>
      </c>
      <c r="X104" s="71">
        <v>-1.771794319152832</v>
      </c>
      <c r="Y104" s="71">
        <v>-2.5147819519042969</v>
      </c>
      <c r="Z104" s="71">
        <v>-3.8525581359863281E-2</v>
      </c>
      <c r="AA104" s="71">
        <v>-2.0272064208984375</v>
      </c>
      <c r="AB104" s="71">
        <v>7.4361238479614258</v>
      </c>
      <c r="AC104" s="71">
        <v>3.4389438629150391</v>
      </c>
      <c r="AD104" s="71">
        <v>3.8336143493652344</v>
      </c>
      <c r="AE104" s="71">
        <v>1.6908912658691406</v>
      </c>
      <c r="AF104" s="71">
        <v>4.6429071426391602</v>
      </c>
      <c r="AG104" s="72">
        <v>98.7</v>
      </c>
    </row>
    <row r="105" spans="1:33" s="13" customFormat="1" ht="17">
      <c r="A105" s="15" t="s">
        <v>21</v>
      </c>
      <c r="B105" s="15">
        <v>81</v>
      </c>
      <c r="C105" s="15" t="s">
        <v>22</v>
      </c>
      <c r="D105" s="16">
        <v>26.821391105651855</v>
      </c>
      <c r="E105" s="16">
        <v>26.991104125976562</v>
      </c>
      <c r="F105" s="16">
        <v>25.840207099914551</v>
      </c>
      <c r="G105" s="16">
        <v>26.961641311645508</v>
      </c>
      <c r="H105" s="16">
        <v>25.989726066589355</v>
      </c>
      <c r="I105" s="16">
        <v>26.023260116577148</v>
      </c>
      <c r="J105" s="16">
        <v>25.285197257995605</v>
      </c>
      <c r="K105" s="16">
        <v>26.50202465057373</v>
      </c>
      <c r="L105" s="16">
        <v>36.836746215820312</v>
      </c>
      <c r="M105" s="16">
        <v>28.851534843444824</v>
      </c>
      <c r="N105" s="16">
        <v>33.253377914428711</v>
      </c>
      <c r="O105" s="16">
        <v>27.085982322692871</v>
      </c>
      <c r="P105" s="16">
        <v>30.905025482177734</v>
      </c>
      <c r="Q105" s="16">
        <v>27.043713569641113</v>
      </c>
      <c r="R105" s="16">
        <v>30.972352027893066</v>
      </c>
      <c r="S105" s="16">
        <v>27.022563934326172</v>
      </c>
      <c r="T105" s="16">
        <v>32.787406921386719</v>
      </c>
      <c r="U105" s="16">
        <v>27.15701961517334</v>
      </c>
      <c r="V105" s="10"/>
      <c r="W105" s="15" t="s">
        <v>21</v>
      </c>
      <c r="X105" s="71">
        <v>-0.16971302032470703</v>
      </c>
      <c r="Y105" s="71">
        <v>-1.121434211730957</v>
      </c>
      <c r="Z105" s="71">
        <v>-3.3534049987792969E-2</v>
      </c>
      <c r="AA105" s="71">
        <v>-1.216827392578125</v>
      </c>
      <c r="AB105" s="71">
        <v>7.9852113723754883</v>
      </c>
      <c r="AC105" s="71">
        <v>6.1673955917358398</v>
      </c>
      <c r="AD105" s="71">
        <v>3.8613119125366211</v>
      </c>
      <c r="AE105" s="71">
        <v>3.9497880935668945</v>
      </c>
      <c r="AF105" s="71">
        <v>5.6303873062133789</v>
      </c>
      <c r="AG105" s="72">
        <v>98.1</v>
      </c>
    </row>
    <row r="106" spans="1:33" s="13" customFormat="1" ht="17">
      <c r="A106" s="15" t="s">
        <v>21</v>
      </c>
      <c r="B106" s="15">
        <v>86</v>
      </c>
      <c r="C106" s="15" t="s">
        <v>22</v>
      </c>
      <c r="D106" s="16">
        <v>29.496500968933105</v>
      </c>
      <c r="E106" s="16">
        <v>26.406711578369141</v>
      </c>
      <c r="F106" s="16">
        <v>27.314781188964844</v>
      </c>
      <c r="G106" s="16">
        <v>26.415424346923828</v>
      </c>
      <c r="H106" s="16">
        <v>27.872895240783691</v>
      </c>
      <c r="I106" s="16">
        <v>25.836047172546387</v>
      </c>
      <c r="J106" s="16">
        <v>25.665621757507324</v>
      </c>
      <c r="K106" s="16">
        <v>25.962066650390625</v>
      </c>
      <c r="L106" s="16">
        <v>38.999176025390625</v>
      </c>
      <c r="M106" s="16">
        <v>27.974127769470215</v>
      </c>
      <c r="N106" s="16">
        <v>36.526407241821289</v>
      </c>
      <c r="O106" s="16">
        <v>26.449548721313477</v>
      </c>
      <c r="P106" s="16">
        <v>30.97592830657959</v>
      </c>
      <c r="Q106" s="16">
        <v>26.386905670166016</v>
      </c>
      <c r="R106" s="16">
        <v>33.121700286865234</v>
      </c>
      <c r="S106" s="16">
        <v>26.497135162353516</v>
      </c>
      <c r="T106" s="16">
        <v>34.896577835083008</v>
      </c>
      <c r="U106" s="16">
        <v>26.512008666992188</v>
      </c>
      <c r="V106" s="10"/>
      <c r="W106" s="15" t="s">
        <v>21</v>
      </c>
      <c r="X106" s="71">
        <v>3.0897893905639648</v>
      </c>
      <c r="Y106" s="71">
        <v>0.89935684204101562</v>
      </c>
      <c r="Z106" s="71">
        <v>2.0368480682373047</v>
      </c>
      <c r="AA106" s="71">
        <v>-0.29644489288330078</v>
      </c>
      <c r="AB106" s="71">
        <v>11.02504825592041</v>
      </c>
      <c r="AC106" s="71">
        <v>10.076858520507812</v>
      </c>
      <c r="AD106" s="71">
        <v>4.5890226364135742</v>
      </c>
      <c r="AE106" s="71">
        <v>6.6245651245117188</v>
      </c>
      <c r="AF106" s="71">
        <v>8.3845691680908203</v>
      </c>
      <c r="AG106" s="72">
        <v>89.1</v>
      </c>
    </row>
    <row r="107" spans="1:33" s="13" customFormat="1" ht="17">
      <c r="A107" s="15" t="s">
        <v>21</v>
      </c>
      <c r="B107" s="15">
        <v>86</v>
      </c>
      <c r="C107" s="15" t="s">
        <v>22</v>
      </c>
      <c r="D107" s="16">
        <v>26.895357131958008</v>
      </c>
      <c r="E107" s="16">
        <v>27.718328475952148</v>
      </c>
      <c r="F107" s="16">
        <v>26.131719589233398</v>
      </c>
      <c r="G107" s="16">
        <v>27.606196403503418</v>
      </c>
      <c r="H107" s="16">
        <v>24.385160446166992</v>
      </c>
      <c r="I107" s="16">
        <v>26.909378051757812</v>
      </c>
      <c r="J107" s="16">
        <v>24.614392280578613</v>
      </c>
      <c r="K107" s="16">
        <v>26.922468185424805</v>
      </c>
      <c r="L107" s="16">
        <v>34.896053314208984</v>
      </c>
      <c r="M107" s="16">
        <v>29.516383171081543</v>
      </c>
      <c r="N107" s="16">
        <v>33.11640739440918</v>
      </c>
      <c r="O107" s="16">
        <v>27.763928413391113</v>
      </c>
      <c r="P107" s="16">
        <v>29.257876396179199</v>
      </c>
      <c r="Q107" s="16">
        <v>27.72772216796875</v>
      </c>
      <c r="R107" s="16">
        <v>30.308712959289551</v>
      </c>
      <c r="S107" s="16">
        <v>27.488715171813965</v>
      </c>
      <c r="T107" s="16">
        <v>31.764756202697754</v>
      </c>
      <c r="U107" s="16">
        <v>27.632967948913574</v>
      </c>
      <c r="V107" s="10"/>
      <c r="W107" s="15" t="s">
        <v>21</v>
      </c>
      <c r="X107" s="71">
        <v>-0.82297134399414062</v>
      </c>
      <c r="Y107" s="71">
        <v>-1.4744768142700195</v>
      </c>
      <c r="Z107" s="71">
        <v>-2.5242176055908203</v>
      </c>
      <c r="AA107" s="71">
        <v>-2.3080759048461914</v>
      </c>
      <c r="AB107" s="71">
        <v>5.3796701431274414</v>
      </c>
      <c r="AC107" s="71">
        <v>5.3524789810180664</v>
      </c>
      <c r="AD107" s="71">
        <v>1.5301542282104492</v>
      </c>
      <c r="AE107" s="71">
        <v>2.8199977874755859</v>
      </c>
      <c r="AF107" s="71">
        <v>4.1317882537841797</v>
      </c>
      <c r="AG107" s="72">
        <v>99.8</v>
      </c>
    </row>
    <row r="108" spans="1:33" s="13" customFormat="1" ht="17">
      <c r="A108" s="15" t="s">
        <v>21</v>
      </c>
      <c r="B108" s="15">
        <v>86</v>
      </c>
      <c r="C108" s="15" t="s">
        <v>22</v>
      </c>
      <c r="D108" s="16">
        <v>26.005361557006836</v>
      </c>
      <c r="E108" s="16">
        <v>26.826436042785645</v>
      </c>
      <c r="F108" s="16">
        <v>25.293299674987793</v>
      </c>
      <c r="G108" s="16">
        <v>26.777139663696289</v>
      </c>
      <c r="H108" s="16">
        <v>24.776265144348145</v>
      </c>
      <c r="I108" s="16">
        <v>25.907210350036621</v>
      </c>
      <c r="J108" s="16">
        <v>24.236943244934082</v>
      </c>
      <c r="K108" s="16">
        <v>26.184195518493652</v>
      </c>
      <c r="L108" s="16">
        <v>35.371438980102539</v>
      </c>
      <c r="M108" s="16">
        <v>28.647014617919922</v>
      </c>
      <c r="N108" s="16">
        <v>32.061191558837891</v>
      </c>
      <c r="O108" s="16">
        <v>26.940296173095703</v>
      </c>
      <c r="P108" s="16">
        <v>29.740792274475098</v>
      </c>
      <c r="Q108" s="16">
        <v>26.923244476318359</v>
      </c>
      <c r="R108" s="16">
        <v>29.422061920166016</v>
      </c>
      <c r="S108" s="16">
        <v>26.686908721923828</v>
      </c>
      <c r="T108" s="16">
        <v>32.158210754394531</v>
      </c>
      <c r="U108" s="16">
        <v>26.860984802246094</v>
      </c>
      <c r="V108" s="10"/>
      <c r="W108" s="15" t="s">
        <v>21</v>
      </c>
      <c r="X108" s="71">
        <v>-0.82107448577880859</v>
      </c>
      <c r="Y108" s="71">
        <v>-1.4838399887084961</v>
      </c>
      <c r="Z108" s="71">
        <v>-1.1309452056884766</v>
      </c>
      <c r="AA108" s="71">
        <v>-1.9472522735595703</v>
      </c>
      <c r="AB108" s="71">
        <v>6.7244243621826172</v>
      </c>
      <c r="AC108" s="71">
        <v>5.1208953857421875</v>
      </c>
      <c r="AD108" s="71">
        <v>2.8175477981567383</v>
      </c>
      <c r="AE108" s="71">
        <v>2.7351531982421875</v>
      </c>
      <c r="AF108" s="71">
        <v>5.2972259521484375</v>
      </c>
      <c r="AG108" s="72">
        <v>99.4</v>
      </c>
    </row>
    <row r="109" spans="1:33" s="13" customFormat="1" ht="17">
      <c r="A109" s="15" t="s">
        <v>21</v>
      </c>
      <c r="B109" s="15">
        <v>86</v>
      </c>
      <c r="C109" s="15" t="s">
        <v>22</v>
      </c>
      <c r="D109" s="16">
        <v>28.327435493469238</v>
      </c>
      <c r="E109" s="16">
        <v>26.247549057006836</v>
      </c>
      <c r="F109" s="16">
        <v>26.566490173339844</v>
      </c>
      <c r="G109" s="16">
        <v>26.24757194519043</v>
      </c>
      <c r="H109" s="16">
        <v>24.891719818115234</v>
      </c>
      <c r="I109" s="16">
        <v>25.180452346801758</v>
      </c>
      <c r="J109" s="16">
        <v>25.036520957946777</v>
      </c>
      <c r="K109" s="16">
        <v>25.876102447509766</v>
      </c>
      <c r="L109" s="16">
        <v>35.771892547607422</v>
      </c>
      <c r="M109" s="16">
        <v>27.95671272277832</v>
      </c>
      <c r="N109" s="16">
        <v>34.165523529052734</v>
      </c>
      <c r="O109" s="16">
        <v>26.194029808044434</v>
      </c>
      <c r="P109" s="16">
        <v>30.785367012023926</v>
      </c>
      <c r="Q109" s="16">
        <v>26.20649242401123</v>
      </c>
      <c r="R109" s="16">
        <v>31.892631530761719</v>
      </c>
      <c r="S109" s="16">
        <v>26.232865333557129</v>
      </c>
      <c r="T109" s="16">
        <v>32.78959846496582</v>
      </c>
      <c r="U109" s="16">
        <v>26.227645874023438</v>
      </c>
      <c r="V109" s="10"/>
      <c r="W109" s="15" t="s">
        <v>21</v>
      </c>
      <c r="X109" s="71">
        <v>2.0798864364624023</v>
      </c>
      <c r="Y109" s="71">
        <v>0.31891822814941406</v>
      </c>
      <c r="Z109" s="71">
        <v>-0.28873252868652344</v>
      </c>
      <c r="AA109" s="71">
        <v>-0.83958148956298828</v>
      </c>
      <c r="AB109" s="71">
        <v>7.8151798248291016</v>
      </c>
      <c r="AC109" s="71">
        <v>7.9714937210083008</v>
      </c>
      <c r="AD109" s="71">
        <v>4.5788745880126953</v>
      </c>
      <c r="AE109" s="71">
        <v>5.6597661972045898</v>
      </c>
      <c r="AF109" s="71">
        <v>6.5619525909423828</v>
      </c>
      <c r="AG109" s="72">
        <v>96</v>
      </c>
    </row>
    <row r="110" spans="1:33" s="13" customFormat="1" ht="17">
      <c r="A110" s="15" t="s">
        <v>21</v>
      </c>
      <c r="B110" s="15">
        <v>86</v>
      </c>
      <c r="C110" s="15" t="s">
        <v>22</v>
      </c>
      <c r="D110" s="16">
        <v>24.490371704101562</v>
      </c>
      <c r="E110" s="16">
        <v>25.013241767883301</v>
      </c>
      <c r="F110" s="16">
        <v>23.782849311828613</v>
      </c>
      <c r="G110" s="16">
        <v>24.974966049194336</v>
      </c>
      <c r="H110" s="16">
        <v>25.701523780822754</v>
      </c>
      <c r="I110" s="16">
        <v>24.37877368927002</v>
      </c>
      <c r="J110" s="16">
        <v>24.494132041931152</v>
      </c>
      <c r="K110" s="16">
        <v>24.797652244567871</v>
      </c>
      <c r="L110" s="16">
        <v>35.482463836669922</v>
      </c>
      <c r="M110" s="16">
        <v>26.870535850524902</v>
      </c>
      <c r="N110" s="16">
        <v>30.617714881896973</v>
      </c>
      <c r="O110" s="16">
        <v>25.02413272857666</v>
      </c>
      <c r="P110" s="16">
        <v>31.203195571899414</v>
      </c>
      <c r="Q110" s="16">
        <v>25.048629760742188</v>
      </c>
      <c r="R110" s="16">
        <v>28.012974739074707</v>
      </c>
      <c r="S110" s="16">
        <v>24.904837608337402</v>
      </c>
      <c r="T110" s="16">
        <v>31.877079963684082</v>
      </c>
      <c r="U110" s="16">
        <v>25.185965538024902</v>
      </c>
      <c r="V110" s="10"/>
      <c r="W110" s="15" t="s">
        <v>21</v>
      </c>
      <c r="X110" s="71">
        <v>-0.52287006378173828</v>
      </c>
      <c r="Y110" s="71">
        <v>-1.1921167373657227</v>
      </c>
      <c r="Z110" s="71">
        <v>1.3227500915527344</v>
      </c>
      <c r="AA110" s="71">
        <v>-0.30352020263671875</v>
      </c>
      <c r="AB110" s="71">
        <v>8.6119279861450195</v>
      </c>
      <c r="AC110" s="71">
        <v>5.5935821533203125</v>
      </c>
      <c r="AD110" s="71">
        <v>6.1545658111572266</v>
      </c>
      <c r="AE110" s="71">
        <v>3.1081371307373047</v>
      </c>
      <c r="AF110" s="71">
        <v>6.6911144256591797</v>
      </c>
      <c r="AG110" s="72">
        <v>91.7</v>
      </c>
    </row>
    <row r="111" spans="1:33" s="13" customFormat="1" ht="17">
      <c r="A111" s="15" t="s">
        <v>21</v>
      </c>
      <c r="B111" s="15">
        <v>88</v>
      </c>
      <c r="C111" s="15" t="s">
        <v>22</v>
      </c>
      <c r="D111" s="16">
        <v>28.860270500183105</v>
      </c>
      <c r="E111" s="16">
        <v>27.751143455505371</v>
      </c>
      <c r="F111" s="16">
        <v>26.955236434936523</v>
      </c>
      <c r="G111" s="16">
        <v>27.518898010253906</v>
      </c>
      <c r="H111" s="16">
        <v>27.096096992492676</v>
      </c>
      <c r="I111" s="16">
        <v>26.567360877990723</v>
      </c>
      <c r="J111" s="16">
        <v>25.966483116149902</v>
      </c>
      <c r="K111" s="16">
        <v>26.964866638183594</v>
      </c>
      <c r="L111" s="16">
        <v>39.4541015625</v>
      </c>
      <c r="M111" s="16">
        <v>29.430658340454102</v>
      </c>
      <c r="N111" s="16">
        <v>34.684263229370117</v>
      </c>
      <c r="O111" s="16">
        <v>27.562983512878418</v>
      </c>
      <c r="P111" s="16">
        <v>32.667976379394531</v>
      </c>
      <c r="Q111" s="16">
        <v>27.378293991088867</v>
      </c>
      <c r="R111" s="16">
        <v>31.712201118469238</v>
      </c>
      <c r="S111" s="16">
        <v>27.523138999938965</v>
      </c>
      <c r="T111" s="16">
        <v>34.96052360534668</v>
      </c>
      <c r="U111" s="16">
        <v>27.930058479309082</v>
      </c>
      <c r="V111" s="10"/>
      <c r="W111" s="15" t="s">
        <v>21</v>
      </c>
      <c r="X111" s="71">
        <v>1.1091270446777344</v>
      </c>
      <c r="Y111" s="71">
        <v>-0.56366157531738281</v>
      </c>
      <c r="Z111" s="71">
        <v>0.52873611450195312</v>
      </c>
      <c r="AA111" s="71">
        <v>-0.99838352203369141</v>
      </c>
      <c r="AB111" s="71">
        <v>10.023443222045898</v>
      </c>
      <c r="AC111" s="71">
        <v>7.1212797164916992</v>
      </c>
      <c r="AD111" s="71">
        <v>5.2896823883056641</v>
      </c>
      <c r="AE111" s="71">
        <v>4.1890621185302734</v>
      </c>
      <c r="AF111" s="71">
        <v>7.0304651260375977</v>
      </c>
      <c r="AG111" s="72">
        <v>90.4</v>
      </c>
    </row>
    <row r="112" spans="1:33" s="13" customFormat="1" ht="17">
      <c r="A112" s="15" t="s">
        <v>21</v>
      </c>
      <c r="B112" s="15">
        <v>88</v>
      </c>
      <c r="C112" s="15" t="s">
        <v>22</v>
      </c>
      <c r="D112" s="16">
        <v>27.387805938720703</v>
      </c>
      <c r="E112" s="16">
        <v>27.830202102661133</v>
      </c>
      <c r="F112" s="16">
        <v>26.173428535461426</v>
      </c>
      <c r="G112" s="16">
        <v>27.494235992431641</v>
      </c>
      <c r="H112" s="16">
        <v>28.13809871673584</v>
      </c>
      <c r="I112" s="16">
        <v>26.784426689147949</v>
      </c>
      <c r="J112" s="16">
        <v>26.719878196716309</v>
      </c>
      <c r="K112" s="16">
        <v>27.165315628051758</v>
      </c>
      <c r="L112" s="16">
        <v>39.324909210205078</v>
      </c>
      <c r="M112" s="16">
        <v>29.402429580688477</v>
      </c>
      <c r="N112" s="16">
        <v>32.797332763671875</v>
      </c>
      <c r="O112" s="16">
        <v>27.544928550720215</v>
      </c>
      <c r="P112" s="16">
        <v>34.278020858764648</v>
      </c>
      <c r="Q112" s="16">
        <v>27.604161262512207</v>
      </c>
      <c r="R112" s="16">
        <v>30.24573802947998</v>
      </c>
      <c r="S112" s="16">
        <v>27.360048294067383</v>
      </c>
      <c r="T112" s="16">
        <v>34.954616546630859</v>
      </c>
      <c r="U112" s="16">
        <v>27.57879638671875</v>
      </c>
      <c r="V112" s="10"/>
      <c r="W112" s="15" t="s">
        <v>21</v>
      </c>
      <c r="X112" s="71">
        <v>-0.44239616394042969</v>
      </c>
      <c r="Y112" s="71">
        <v>-1.3208074569702148</v>
      </c>
      <c r="Z112" s="71">
        <v>1.3536720275878906</v>
      </c>
      <c r="AA112" s="71">
        <v>-0.44543743133544922</v>
      </c>
      <c r="AB112" s="71">
        <v>9.9224796295166016</v>
      </c>
      <c r="AC112" s="71">
        <v>5.2524042129516602</v>
      </c>
      <c r="AD112" s="71">
        <v>6.6738595962524414</v>
      </c>
      <c r="AE112" s="71">
        <v>2.8856897354125977</v>
      </c>
      <c r="AF112" s="71">
        <v>7.3758201599121094</v>
      </c>
      <c r="AG112" s="72">
        <v>84.3</v>
      </c>
    </row>
    <row r="113" spans="1:33" s="13" customFormat="1" ht="17">
      <c r="A113" s="15" t="s">
        <v>21</v>
      </c>
      <c r="B113" s="15">
        <v>89</v>
      </c>
      <c r="C113" s="15" t="s">
        <v>22</v>
      </c>
      <c r="D113" s="16">
        <v>26.563999176025391</v>
      </c>
      <c r="E113" s="16">
        <v>26.635309219360352</v>
      </c>
      <c r="F113" s="16">
        <v>25.17503547668457</v>
      </c>
      <c r="G113" s="16">
        <v>26.441934585571289</v>
      </c>
      <c r="H113" s="16">
        <v>24.479016304016113</v>
      </c>
      <c r="I113" s="16">
        <v>25.308919906616211</v>
      </c>
      <c r="J113" s="16">
        <v>25.242859840393066</v>
      </c>
      <c r="K113" s="16">
        <v>25.955435752868652</v>
      </c>
      <c r="L113" s="16">
        <v>37.082662582397461</v>
      </c>
      <c r="M113" s="16">
        <v>28.273919105529785</v>
      </c>
      <c r="N113" s="16">
        <v>32.520700454711914</v>
      </c>
      <c r="O113" s="16">
        <v>26.53745174407959</v>
      </c>
      <c r="P113" s="16">
        <v>31.317476272583008</v>
      </c>
      <c r="Q113" s="16">
        <v>26.480889320373535</v>
      </c>
      <c r="R113" s="16">
        <v>29.672581672668457</v>
      </c>
      <c r="S113" s="16">
        <v>26.244926452636719</v>
      </c>
      <c r="T113" s="16">
        <v>33.734500885009766</v>
      </c>
      <c r="U113" s="16">
        <v>26.369638442993164</v>
      </c>
      <c r="V113" s="10"/>
      <c r="W113" s="15" t="s">
        <v>21</v>
      </c>
      <c r="X113" s="71">
        <v>-7.1310043334960938E-2</v>
      </c>
      <c r="Y113" s="71">
        <v>-1.2668991088867188</v>
      </c>
      <c r="Z113" s="71">
        <v>-0.82990360260009766</v>
      </c>
      <c r="AA113" s="71">
        <v>-0.71257591247558594</v>
      </c>
      <c r="AB113" s="71">
        <v>8.8087434768676758</v>
      </c>
      <c r="AC113" s="71">
        <v>5.9832487106323242</v>
      </c>
      <c r="AD113" s="71">
        <v>4.8365869522094727</v>
      </c>
      <c r="AE113" s="71">
        <v>3.4276552200317383</v>
      </c>
      <c r="AF113" s="71">
        <v>7.3648624420166016</v>
      </c>
      <c r="AG113" s="72">
        <v>96.9</v>
      </c>
    </row>
    <row r="114" spans="1:33" s="13" customFormat="1" ht="17">
      <c r="A114" s="15" t="s">
        <v>21</v>
      </c>
      <c r="B114" s="15">
        <v>89</v>
      </c>
      <c r="C114" s="15" t="s">
        <v>22</v>
      </c>
      <c r="D114" s="16">
        <v>26.661054611206055</v>
      </c>
      <c r="E114" s="16">
        <v>25.764450073242188</v>
      </c>
      <c r="F114" s="16">
        <v>25.429746627807617</v>
      </c>
      <c r="G114" s="16">
        <v>25.620536804199219</v>
      </c>
      <c r="H114" s="16">
        <v>24.775301933288574</v>
      </c>
      <c r="I114" s="16">
        <v>24.546710014343262</v>
      </c>
      <c r="J114" s="16">
        <v>24.846384048461914</v>
      </c>
      <c r="K114" s="16">
        <v>25.154550552368164</v>
      </c>
      <c r="L114" s="16">
        <v>37.712181091308594</v>
      </c>
      <c r="M114" s="16">
        <v>27.182987213134766</v>
      </c>
      <c r="N114" s="16">
        <v>33.233705520629883</v>
      </c>
      <c r="O114" s="16">
        <v>25.677406311035156</v>
      </c>
      <c r="P114" s="16">
        <v>31.426083564758301</v>
      </c>
      <c r="Q114" s="16">
        <v>25.616722106933594</v>
      </c>
      <c r="R114" s="16">
        <v>30.229137420654297</v>
      </c>
      <c r="S114" s="16">
        <v>25.584815979003906</v>
      </c>
      <c r="T114" s="16">
        <v>32.794898986816406</v>
      </c>
      <c r="U114" s="16">
        <v>25.551692962646484</v>
      </c>
      <c r="V114" s="10"/>
      <c r="W114" s="15" t="s">
        <v>21</v>
      </c>
      <c r="X114" s="71">
        <v>0.89660453796386719</v>
      </c>
      <c r="Y114" s="71">
        <v>-0.19079017639160156</v>
      </c>
      <c r="Z114" s="71">
        <v>0.2285919189453125</v>
      </c>
      <c r="AA114" s="71">
        <v>-0.30816650390625</v>
      </c>
      <c r="AB114" s="71">
        <v>10.529193878173828</v>
      </c>
      <c r="AC114" s="71">
        <v>7.5562992095947266</v>
      </c>
      <c r="AD114" s="71">
        <v>5.809361457824707</v>
      </c>
      <c r="AE114" s="71">
        <v>4.6443214416503906</v>
      </c>
      <c r="AF114" s="71">
        <v>7.2432060241699219</v>
      </c>
      <c r="AG114" s="72">
        <v>85</v>
      </c>
    </row>
    <row r="115" spans="1:33" s="13" customFormat="1" ht="17">
      <c r="A115" s="15" t="s">
        <v>21</v>
      </c>
      <c r="B115" s="15">
        <v>89</v>
      </c>
      <c r="C115" s="15" t="s">
        <v>22</v>
      </c>
      <c r="D115" s="16">
        <v>26.780858039855957</v>
      </c>
      <c r="E115" s="16">
        <v>30.371376037597656</v>
      </c>
      <c r="F115" s="16">
        <v>21.482681274414062</v>
      </c>
      <c r="G115" s="16">
        <v>28.669870376586914</v>
      </c>
      <c r="H115" s="16">
        <v>30.352423667907715</v>
      </c>
      <c r="I115" s="16">
        <v>29.794229507446289</v>
      </c>
      <c r="J115" s="16">
        <v>26.263741493225098</v>
      </c>
      <c r="K115" s="16">
        <v>29.707615852355957</v>
      </c>
      <c r="L115" s="16">
        <v>37.133106231689453</v>
      </c>
      <c r="M115" s="16">
        <v>32.675991058349609</v>
      </c>
      <c r="N115" s="16">
        <v>30.985072135925293</v>
      </c>
      <c r="O115" s="16">
        <v>30.418071746826172</v>
      </c>
      <c r="P115" s="16">
        <v>34.035009384155273</v>
      </c>
      <c r="Q115" s="16">
        <v>30.820921897888184</v>
      </c>
      <c r="R115" s="16">
        <v>28.989316940307617</v>
      </c>
      <c r="S115" s="16">
        <v>29.65910530090332</v>
      </c>
      <c r="T115" s="16">
        <v>32.552577972412109</v>
      </c>
      <c r="U115" s="16">
        <v>30.402401924133301</v>
      </c>
      <c r="V115" s="10"/>
      <c r="W115" s="15" t="s">
        <v>21</v>
      </c>
      <c r="X115" s="71">
        <v>-3.5905179977416992</v>
      </c>
      <c r="Y115" s="71">
        <v>-7.1871891021728516</v>
      </c>
      <c r="Z115" s="71">
        <v>0.55819416046142578</v>
      </c>
      <c r="AA115" s="71">
        <v>-3.4438743591308594</v>
      </c>
      <c r="AB115" s="71">
        <v>4.4571151733398438</v>
      </c>
      <c r="AC115" s="71">
        <v>0.56700038909912109</v>
      </c>
      <c r="AD115" s="71">
        <v>3.2140874862670898</v>
      </c>
      <c r="AE115" s="71">
        <v>-0.66978836059570312</v>
      </c>
      <c r="AF115" s="71">
        <v>2.1501760482788086</v>
      </c>
      <c r="AG115" s="72">
        <v>99.9</v>
      </c>
    </row>
  </sheetData>
  <sortState xmlns:xlrd2="http://schemas.microsoft.com/office/spreadsheetml/2017/richdata2" ref="A1:AF45">
    <sortCondition ref="A1:A45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CF9B-877F-6142-995D-2B4D74A98F7D}">
  <dimension ref="A1:AI632"/>
  <sheetViews>
    <sheetView topLeftCell="U1" zoomScale="40" zoomScaleNormal="40" workbookViewId="0">
      <selection activeCell="U1" sqref="A1:XFD1048576"/>
    </sheetView>
  </sheetViews>
  <sheetFormatPr baseColWidth="10" defaultRowHeight="18"/>
  <cols>
    <col min="1" max="1" width="6.140625" style="10" bestFit="1" customWidth="1"/>
    <col min="2" max="2" width="3.42578125" style="10" bestFit="1" customWidth="1"/>
    <col min="3" max="3" width="3.140625" style="10" bestFit="1" customWidth="1"/>
    <col min="4" max="33" width="6.140625" style="10" customWidth="1"/>
  </cols>
  <sheetData>
    <row r="1" spans="1:35" ht="49" thickBot="1">
      <c r="A1" s="1" t="s">
        <v>0</v>
      </c>
      <c r="B1" s="1" t="s">
        <v>1</v>
      </c>
      <c r="C1" s="1" t="s">
        <v>2</v>
      </c>
      <c r="D1" s="2" t="s">
        <v>11</v>
      </c>
      <c r="E1" s="104" t="str">
        <f>D1</f>
        <v>Aibiotics_10</v>
      </c>
      <c r="F1" s="104" t="str">
        <f>E1</f>
        <v>Aibiotics_10</v>
      </c>
      <c r="G1" s="102" t="s">
        <v>12</v>
      </c>
      <c r="H1" s="104" t="str">
        <f>G1</f>
        <v>Aibiotics_11</v>
      </c>
      <c r="I1" s="104" t="str">
        <f>H1</f>
        <v>Aibiotics_11</v>
      </c>
      <c r="J1" s="5" t="s">
        <v>8</v>
      </c>
      <c r="K1" s="104" t="str">
        <f>J1</f>
        <v>Aibiotics_6</v>
      </c>
      <c r="L1" s="104" t="str">
        <f>K1</f>
        <v>Aibiotics_6</v>
      </c>
      <c r="M1" s="5" t="s">
        <v>9</v>
      </c>
      <c r="N1" s="104" t="str">
        <f>M1</f>
        <v>Aibiotics_7</v>
      </c>
      <c r="O1" s="104" t="str">
        <f>N1</f>
        <v>Aibiotics_7</v>
      </c>
      <c r="P1" s="5" t="s">
        <v>10</v>
      </c>
      <c r="Q1" s="104" t="str">
        <f>P1</f>
        <v>Aibiotics_8</v>
      </c>
      <c r="R1" s="104" t="str">
        <f>Q1</f>
        <v>Aibiotics_8</v>
      </c>
      <c r="S1" s="5" t="s">
        <v>6</v>
      </c>
      <c r="T1" s="104" t="str">
        <f>S1</f>
        <v>gene MAP1A</v>
      </c>
      <c r="U1" s="104" t="str">
        <f>T1</f>
        <v>gene MAP1A</v>
      </c>
      <c r="V1" s="5" t="s">
        <v>7</v>
      </c>
      <c r="W1" s="104" t="str">
        <f>V1</f>
        <v>gene SHANK1</v>
      </c>
      <c r="X1" s="104" t="str">
        <f>W1</f>
        <v>gene SHANK1</v>
      </c>
      <c r="Y1" s="102" t="s">
        <v>5</v>
      </c>
      <c r="Z1" s="104" t="str">
        <f>Y1</f>
        <v>HOOK3(94)</v>
      </c>
      <c r="AA1" s="104" t="str">
        <f>Z1</f>
        <v>HOOK3(94)</v>
      </c>
      <c r="AB1" s="102" t="s">
        <v>3</v>
      </c>
      <c r="AC1" s="104" t="str">
        <f>AB1</f>
        <v>SYNJ1(99)</v>
      </c>
      <c r="AD1" s="104" t="str">
        <f>AC1</f>
        <v>SYNJ1(99)</v>
      </c>
      <c r="AE1" s="9"/>
      <c r="AF1" s="9"/>
      <c r="AG1" s="103" t="s">
        <v>4</v>
      </c>
      <c r="AH1" s="103" t="s">
        <v>4</v>
      </c>
      <c r="AI1" s="103" t="s">
        <v>4</v>
      </c>
    </row>
    <row r="2" spans="1:35">
      <c r="A2" s="1"/>
      <c r="B2" s="1"/>
      <c r="C2" s="1"/>
      <c r="D2" s="109" t="s">
        <v>609</v>
      </c>
      <c r="E2" t="s">
        <v>44</v>
      </c>
      <c r="F2" t="s">
        <v>16</v>
      </c>
      <c r="G2" s="109" t="s">
        <v>609</v>
      </c>
      <c r="H2" t="s">
        <v>44</v>
      </c>
      <c r="I2" t="s">
        <v>16</v>
      </c>
      <c r="J2" s="109" t="s">
        <v>609</v>
      </c>
      <c r="K2" t="s">
        <v>44</v>
      </c>
      <c r="L2" t="s">
        <v>16</v>
      </c>
      <c r="M2" s="109" t="s">
        <v>609</v>
      </c>
      <c r="N2" t="s">
        <v>44</v>
      </c>
      <c r="O2" t="s">
        <v>16</v>
      </c>
      <c r="P2" s="109" t="s">
        <v>609</v>
      </c>
      <c r="Q2" t="s">
        <v>44</v>
      </c>
      <c r="R2" t="s">
        <v>16</v>
      </c>
      <c r="S2" s="109" t="s">
        <v>609</v>
      </c>
      <c r="T2" t="s">
        <v>44</v>
      </c>
      <c r="U2" t="s">
        <v>16</v>
      </c>
      <c r="V2" s="109" t="s">
        <v>609</v>
      </c>
      <c r="W2" t="s">
        <v>44</v>
      </c>
      <c r="X2" t="s">
        <v>16</v>
      </c>
      <c r="Y2" s="109" t="s">
        <v>609</v>
      </c>
      <c r="Z2" t="s">
        <v>44</v>
      </c>
      <c r="AA2" t="s">
        <v>16</v>
      </c>
      <c r="AB2" s="109" t="s">
        <v>609</v>
      </c>
      <c r="AC2" t="s">
        <v>44</v>
      </c>
      <c r="AD2" t="s">
        <v>16</v>
      </c>
      <c r="AE2" s="9"/>
      <c r="AF2" s="9"/>
      <c r="AG2" s="109" t="s">
        <v>609</v>
      </c>
      <c r="AH2" t="s">
        <v>44</v>
      </c>
      <c r="AI2" t="s">
        <v>16</v>
      </c>
    </row>
    <row r="3" spans="1:35">
      <c r="A3" s="8" t="s">
        <v>13</v>
      </c>
      <c r="B3" s="8">
        <v>57</v>
      </c>
      <c r="C3" s="8" t="s">
        <v>14</v>
      </c>
      <c r="D3" s="9">
        <v>33.090000000000003</v>
      </c>
      <c r="E3" s="9"/>
      <c r="F3" s="9"/>
      <c r="G3" s="9">
        <v>38.57</v>
      </c>
      <c r="H3" s="9"/>
      <c r="I3" s="9"/>
      <c r="J3" s="9">
        <v>40</v>
      </c>
      <c r="K3" s="9"/>
      <c r="L3" s="9"/>
      <c r="M3" s="9">
        <v>33.35</v>
      </c>
      <c r="N3" s="9"/>
      <c r="O3" s="9"/>
      <c r="P3" s="9">
        <v>40</v>
      </c>
      <c r="Q3" s="9"/>
      <c r="R3" s="9"/>
      <c r="S3" s="9">
        <v>29.66</v>
      </c>
      <c r="T3" s="9"/>
      <c r="U3" s="9"/>
      <c r="V3" s="9">
        <v>24.4</v>
      </c>
      <c r="W3" s="9"/>
      <c r="X3" s="9"/>
      <c r="Y3" s="9">
        <v>25.55</v>
      </c>
      <c r="Z3" s="9"/>
      <c r="AA3" s="9"/>
      <c r="AB3" s="9">
        <v>26.25</v>
      </c>
      <c r="AC3" s="9"/>
      <c r="AD3" s="9"/>
      <c r="AE3" s="9"/>
      <c r="AF3" s="9"/>
      <c r="AG3" s="9">
        <v>25.29</v>
      </c>
      <c r="AH3" s="36">
        <v>25.68</v>
      </c>
      <c r="AI3" s="32">
        <v>25.8</v>
      </c>
    </row>
    <row r="4" spans="1:35">
      <c r="A4" s="8" t="s">
        <v>13</v>
      </c>
      <c r="B4" s="8">
        <v>66</v>
      </c>
      <c r="C4" s="8" t="s">
        <v>15</v>
      </c>
      <c r="D4" s="9">
        <v>33.950000000000003</v>
      </c>
      <c r="E4" s="9"/>
      <c r="F4" s="9"/>
      <c r="G4" s="9">
        <v>39.07</v>
      </c>
      <c r="H4" s="9"/>
      <c r="I4" s="9"/>
      <c r="J4" s="9">
        <v>40</v>
      </c>
      <c r="K4" s="9"/>
      <c r="L4" s="9"/>
      <c r="M4" s="9">
        <v>34.159999999999997</v>
      </c>
      <c r="N4" s="9"/>
      <c r="O4" s="9"/>
      <c r="P4" s="9">
        <v>39.53</v>
      </c>
      <c r="Q4" s="9"/>
      <c r="R4" s="9"/>
      <c r="S4" s="9">
        <v>30.19</v>
      </c>
      <c r="T4" s="9"/>
      <c r="U4" s="9"/>
      <c r="V4" s="9">
        <v>24.26</v>
      </c>
      <c r="W4" s="9"/>
      <c r="X4" s="9"/>
      <c r="Y4" s="9">
        <v>26.13</v>
      </c>
      <c r="Z4" s="9"/>
      <c r="AA4" s="9"/>
      <c r="AB4" s="9">
        <v>26.83</v>
      </c>
      <c r="AC4" s="9"/>
      <c r="AD4" s="9"/>
      <c r="AE4" s="9"/>
      <c r="AF4" s="9"/>
      <c r="AG4" s="9">
        <v>24.91</v>
      </c>
      <c r="AH4" s="36">
        <v>27.07</v>
      </c>
      <c r="AI4" s="12">
        <v>26.99</v>
      </c>
    </row>
    <row r="5" spans="1:35">
      <c r="A5" s="8" t="s">
        <v>13</v>
      </c>
      <c r="B5" s="8">
        <v>62</v>
      </c>
      <c r="C5" s="8" t="s">
        <v>15</v>
      </c>
      <c r="D5" s="9">
        <v>34.020000000000003</v>
      </c>
      <c r="E5" s="9"/>
      <c r="F5" s="9"/>
      <c r="G5" s="9">
        <v>40</v>
      </c>
      <c r="H5" s="9"/>
      <c r="I5" s="9"/>
      <c r="J5" s="9">
        <v>40</v>
      </c>
      <c r="K5" s="9"/>
      <c r="L5" s="9"/>
      <c r="M5" s="9">
        <v>34.24</v>
      </c>
      <c r="N5" s="9"/>
      <c r="O5" s="9"/>
      <c r="P5" s="9">
        <v>40</v>
      </c>
      <c r="Q5" s="9"/>
      <c r="R5" s="9"/>
      <c r="S5" s="9">
        <v>28.7</v>
      </c>
      <c r="T5" s="9"/>
      <c r="U5" s="9"/>
      <c r="V5" s="9">
        <v>24.4</v>
      </c>
      <c r="W5" s="9"/>
      <c r="X5" s="9"/>
      <c r="Y5" s="9">
        <v>26.83</v>
      </c>
      <c r="Z5" s="9"/>
      <c r="AA5" s="9"/>
      <c r="AB5" s="9">
        <v>27.6</v>
      </c>
      <c r="AC5" s="9"/>
      <c r="AD5" s="9"/>
      <c r="AE5" s="9"/>
      <c r="AF5" s="9"/>
      <c r="AG5" s="9">
        <v>25.31</v>
      </c>
      <c r="AH5" s="36">
        <v>25.99</v>
      </c>
      <c r="AI5" s="12">
        <v>25.63</v>
      </c>
    </row>
    <row r="6" spans="1:35">
      <c r="A6" s="8" t="s">
        <v>13</v>
      </c>
      <c r="B6" s="8">
        <v>65</v>
      </c>
      <c r="C6" s="8" t="s">
        <v>14</v>
      </c>
      <c r="D6" s="9">
        <v>34.47</v>
      </c>
      <c r="E6" s="9"/>
      <c r="F6" s="9"/>
      <c r="G6" s="9">
        <v>39.75</v>
      </c>
      <c r="H6" s="9"/>
      <c r="I6" s="9"/>
      <c r="J6" s="9">
        <v>40</v>
      </c>
      <c r="K6" s="9"/>
      <c r="L6" s="9"/>
      <c r="M6" s="9">
        <v>34.28</v>
      </c>
      <c r="N6" s="9"/>
      <c r="O6" s="9"/>
      <c r="P6" s="9">
        <v>40</v>
      </c>
      <c r="Q6" s="9"/>
      <c r="R6" s="9"/>
      <c r="S6" s="9">
        <v>32.619999999999997</v>
      </c>
      <c r="T6" s="9"/>
      <c r="U6" s="9"/>
      <c r="V6" s="9">
        <v>25.37</v>
      </c>
      <c r="W6" s="9"/>
      <c r="X6" s="9"/>
      <c r="Y6" s="9">
        <v>26.47</v>
      </c>
      <c r="Z6" s="9"/>
      <c r="AA6" s="9"/>
      <c r="AB6" s="9">
        <v>26.93</v>
      </c>
      <c r="AC6" s="9"/>
      <c r="AD6" s="9"/>
      <c r="AE6" s="9"/>
      <c r="AF6" s="9"/>
      <c r="AG6" s="9">
        <v>24.84</v>
      </c>
      <c r="AH6" s="36">
        <v>27.21</v>
      </c>
      <c r="AI6" s="12">
        <v>27.37</v>
      </c>
    </row>
    <row r="7" spans="1:35">
      <c r="A7" s="8" t="s">
        <v>13</v>
      </c>
      <c r="B7" s="8">
        <v>57</v>
      </c>
      <c r="C7" s="8" t="s">
        <v>14</v>
      </c>
      <c r="D7" s="9">
        <v>34.82</v>
      </c>
      <c r="E7" s="9"/>
      <c r="F7" s="9"/>
      <c r="G7" s="9">
        <v>40</v>
      </c>
      <c r="H7" s="9"/>
      <c r="I7" s="9"/>
      <c r="J7" s="9">
        <v>40</v>
      </c>
      <c r="K7" s="9"/>
      <c r="L7" s="9"/>
      <c r="M7" s="9">
        <v>37.07</v>
      </c>
      <c r="N7" s="9"/>
      <c r="O7" s="9"/>
      <c r="P7" s="9">
        <v>39.369999999999997</v>
      </c>
      <c r="Q7" s="9"/>
      <c r="R7" s="9"/>
      <c r="S7" s="9">
        <v>30.84</v>
      </c>
      <c r="T7" s="9"/>
      <c r="U7" s="9"/>
      <c r="V7" s="9">
        <v>25.23</v>
      </c>
      <c r="W7" s="9"/>
      <c r="X7" s="9"/>
      <c r="Y7" s="9">
        <v>27.33</v>
      </c>
      <c r="Z7" s="9"/>
      <c r="AA7" s="9"/>
      <c r="AB7" s="9">
        <v>28.31</v>
      </c>
      <c r="AC7" s="9"/>
      <c r="AD7" s="9"/>
      <c r="AE7" s="9"/>
      <c r="AF7" s="9"/>
      <c r="AG7" s="9">
        <v>25.05</v>
      </c>
      <c r="AH7" s="36">
        <v>26.92</v>
      </c>
      <c r="AI7" s="12">
        <v>29.51</v>
      </c>
    </row>
    <row r="8" spans="1:35">
      <c r="A8" s="8" t="s">
        <v>13</v>
      </c>
      <c r="B8" s="8">
        <v>67</v>
      </c>
      <c r="C8" s="8" t="s">
        <v>14</v>
      </c>
      <c r="D8" s="9">
        <v>36.43</v>
      </c>
      <c r="E8" s="9"/>
      <c r="F8" s="9"/>
      <c r="G8" s="9">
        <v>40</v>
      </c>
      <c r="H8" s="9"/>
      <c r="I8" s="9"/>
      <c r="J8" s="9">
        <v>40</v>
      </c>
      <c r="K8" s="9"/>
      <c r="L8" s="9"/>
      <c r="M8" s="9">
        <v>38.409999999999997</v>
      </c>
      <c r="N8" s="9"/>
      <c r="O8" s="9"/>
      <c r="P8" s="9">
        <v>40</v>
      </c>
      <c r="Q8" s="9"/>
      <c r="R8" s="9"/>
      <c r="S8" s="9">
        <v>28.72</v>
      </c>
      <c r="T8" s="9"/>
      <c r="U8" s="9"/>
      <c r="V8" s="9">
        <v>24.35</v>
      </c>
      <c r="W8" s="9"/>
      <c r="X8" s="9"/>
      <c r="Y8" s="9">
        <v>28.55</v>
      </c>
      <c r="Z8" s="9"/>
      <c r="AA8" s="9"/>
      <c r="AB8" s="9">
        <v>29.11</v>
      </c>
      <c r="AC8" s="9"/>
      <c r="AD8" s="9"/>
      <c r="AE8" s="9"/>
      <c r="AF8" s="9"/>
      <c r="AG8" s="9">
        <v>26.3</v>
      </c>
      <c r="AH8" s="38">
        <v>25.683085441589355</v>
      </c>
      <c r="AI8" s="12">
        <v>27.32</v>
      </c>
    </row>
    <row r="9" spans="1:35">
      <c r="A9" s="31" t="s">
        <v>13</v>
      </c>
      <c r="B9" s="31">
        <v>56</v>
      </c>
      <c r="C9" s="31" t="s">
        <v>14</v>
      </c>
      <c r="D9" s="32">
        <v>30.47</v>
      </c>
      <c r="E9" s="32"/>
      <c r="F9" s="32"/>
      <c r="G9" s="32">
        <v>33.64</v>
      </c>
      <c r="H9" s="32"/>
      <c r="I9" s="32"/>
      <c r="J9" s="32">
        <v>37.78</v>
      </c>
      <c r="K9" s="32"/>
      <c r="L9" s="32"/>
      <c r="M9" s="32">
        <v>31.11</v>
      </c>
      <c r="N9" s="32"/>
      <c r="O9" s="32"/>
      <c r="P9" s="32">
        <v>32.21</v>
      </c>
      <c r="Q9" s="32"/>
      <c r="R9" s="32"/>
      <c r="S9" s="32">
        <v>25.9</v>
      </c>
      <c r="T9" s="32"/>
      <c r="U9" s="32"/>
      <c r="V9" s="32">
        <v>23.96</v>
      </c>
      <c r="W9" s="32"/>
      <c r="X9" s="32"/>
      <c r="Y9" s="32">
        <v>25.22</v>
      </c>
      <c r="Z9" s="32"/>
      <c r="AA9" s="32"/>
      <c r="AB9" s="32">
        <v>25.74</v>
      </c>
      <c r="AC9" s="32"/>
      <c r="AD9" s="32"/>
      <c r="AE9" s="32"/>
      <c r="AF9" s="32"/>
      <c r="AG9" s="32">
        <v>25.8</v>
      </c>
      <c r="AH9" s="38">
        <v>26.111650466918945</v>
      </c>
      <c r="AI9" s="12">
        <v>27.64</v>
      </c>
    </row>
    <row r="10" spans="1:35">
      <c r="A10" s="8" t="s">
        <v>13</v>
      </c>
      <c r="B10" s="8">
        <v>74</v>
      </c>
      <c r="C10" s="8" t="s">
        <v>14</v>
      </c>
      <c r="D10" s="9">
        <v>33.14</v>
      </c>
      <c r="E10" s="9"/>
      <c r="F10" s="9"/>
      <c r="G10" s="9">
        <v>37.6</v>
      </c>
      <c r="H10" s="9"/>
      <c r="I10" s="9"/>
      <c r="J10" s="9">
        <v>40</v>
      </c>
      <c r="K10" s="9"/>
      <c r="L10" s="9"/>
      <c r="M10" s="9">
        <v>35.15</v>
      </c>
      <c r="N10" s="9"/>
      <c r="O10" s="9"/>
      <c r="P10" s="9">
        <v>36.04</v>
      </c>
      <c r="Q10" s="9"/>
      <c r="R10" s="9"/>
      <c r="S10" s="9">
        <v>27.9</v>
      </c>
      <c r="T10" s="9"/>
      <c r="U10" s="9"/>
      <c r="V10" s="9">
        <v>25.3</v>
      </c>
      <c r="W10" s="9"/>
      <c r="X10" s="9"/>
      <c r="Y10" s="9">
        <v>27.64</v>
      </c>
      <c r="Z10" s="9"/>
      <c r="AA10" s="9"/>
      <c r="AB10" s="9">
        <v>28.67</v>
      </c>
      <c r="AC10" s="9"/>
      <c r="AD10" s="9"/>
      <c r="AE10" s="9"/>
      <c r="AF10" s="9"/>
      <c r="AG10" s="9">
        <v>26.85</v>
      </c>
      <c r="AH10" s="38">
        <v>25.725479125976562</v>
      </c>
      <c r="AI10" s="12">
        <v>28.16</v>
      </c>
    </row>
    <row r="11" spans="1:35">
      <c r="A11" s="8" t="s">
        <v>13</v>
      </c>
      <c r="B11" s="8">
        <v>58</v>
      </c>
      <c r="C11" s="8" t="s">
        <v>14</v>
      </c>
      <c r="D11" s="9">
        <v>33.58</v>
      </c>
      <c r="E11" s="9"/>
      <c r="F11" s="9"/>
      <c r="G11" s="9">
        <v>36.83</v>
      </c>
      <c r="H11" s="9"/>
      <c r="I11" s="9"/>
      <c r="J11" s="9">
        <v>40</v>
      </c>
      <c r="K11" s="9"/>
      <c r="L11" s="9"/>
      <c r="M11" s="9">
        <v>34.1</v>
      </c>
      <c r="N11" s="9"/>
      <c r="O11" s="9"/>
      <c r="P11" s="9">
        <v>34.659999999999997</v>
      </c>
      <c r="Q11" s="9"/>
      <c r="R11" s="9"/>
      <c r="S11" s="9">
        <v>27.67</v>
      </c>
      <c r="T11" s="9"/>
      <c r="U11" s="9"/>
      <c r="V11" s="9">
        <v>25.22</v>
      </c>
      <c r="W11" s="9"/>
      <c r="X11" s="9"/>
      <c r="Y11" s="9">
        <v>27.22</v>
      </c>
      <c r="Z11" s="9"/>
      <c r="AA11" s="9"/>
      <c r="AB11" s="9">
        <v>28.27</v>
      </c>
      <c r="AC11" s="9"/>
      <c r="AD11" s="9"/>
      <c r="AE11" s="9"/>
      <c r="AF11" s="9"/>
      <c r="AG11" s="9">
        <v>26.06</v>
      </c>
      <c r="AH11" s="38">
        <v>25.939501762390137</v>
      </c>
      <c r="AI11" s="12">
        <v>26.48</v>
      </c>
    </row>
    <row r="12" spans="1:35">
      <c r="A12" s="8" t="s">
        <v>13</v>
      </c>
      <c r="B12" s="8">
        <v>68</v>
      </c>
      <c r="C12" s="8" t="s">
        <v>14</v>
      </c>
      <c r="D12" s="107">
        <v>34.97</v>
      </c>
      <c r="E12" s="107"/>
      <c r="F12" s="107"/>
      <c r="G12" s="107">
        <v>40</v>
      </c>
      <c r="H12" s="107"/>
      <c r="I12" s="107"/>
      <c r="J12" s="9">
        <v>40</v>
      </c>
      <c r="K12" s="9"/>
      <c r="L12" s="9"/>
      <c r="M12" s="9">
        <v>38.43</v>
      </c>
      <c r="N12" s="9"/>
      <c r="O12" s="9"/>
      <c r="P12" s="9">
        <v>36.67</v>
      </c>
      <c r="Q12" s="9"/>
      <c r="R12" s="9"/>
      <c r="S12" s="9">
        <v>27.77</v>
      </c>
      <c r="T12" s="9"/>
      <c r="U12" s="9"/>
      <c r="V12" s="9">
        <v>24.27</v>
      </c>
      <c r="W12" s="9"/>
      <c r="X12" s="9"/>
      <c r="Y12" s="9">
        <v>26.98</v>
      </c>
      <c r="Z12" s="9"/>
      <c r="AA12" s="9"/>
      <c r="AB12" s="9">
        <v>27.94</v>
      </c>
      <c r="AC12" s="9"/>
      <c r="AD12" s="9"/>
      <c r="AE12" s="9"/>
      <c r="AF12" s="9"/>
      <c r="AG12" s="9">
        <v>26.29</v>
      </c>
      <c r="AH12" s="38">
        <v>26.323910713195801</v>
      </c>
      <c r="AI12" s="12">
        <v>27.25</v>
      </c>
    </row>
    <row r="13" spans="1:35">
      <c r="A13" s="8" t="s">
        <v>24</v>
      </c>
      <c r="B13" s="8">
        <v>67</v>
      </c>
      <c r="C13" s="8" t="s">
        <v>23</v>
      </c>
      <c r="D13" s="26">
        <v>32.694496154785156</v>
      </c>
      <c r="E13" s="26"/>
      <c r="F13" s="26"/>
      <c r="G13" s="26">
        <v>34.173303604125977</v>
      </c>
      <c r="H13" s="26"/>
      <c r="I13" s="26"/>
      <c r="J13" s="19">
        <v>38.619325637817383</v>
      </c>
      <c r="K13" s="19"/>
      <c r="L13" s="19"/>
      <c r="M13" s="19">
        <v>35.757850646972656</v>
      </c>
      <c r="N13" s="19"/>
      <c r="O13" s="19"/>
      <c r="P13" s="19">
        <v>33.321714401245117</v>
      </c>
      <c r="Q13" s="19"/>
      <c r="R13" s="19"/>
      <c r="S13" s="19">
        <v>26.453340530395508</v>
      </c>
      <c r="T13" s="19"/>
      <c r="U13" s="19"/>
      <c r="V13" s="19">
        <v>24.636750221252441</v>
      </c>
      <c r="W13" s="19"/>
      <c r="X13" s="19"/>
      <c r="Y13" s="19">
        <v>25.466175079345703</v>
      </c>
      <c r="Z13" s="19"/>
      <c r="AA13" s="19"/>
      <c r="AB13" s="19">
        <v>27.99919319152832</v>
      </c>
      <c r="AC13" s="19"/>
      <c r="AD13" s="19"/>
      <c r="AE13" s="19"/>
      <c r="AF13" s="19"/>
      <c r="AG13" s="19">
        <v>24.934480667114258</v>
      </c>
      <c r="AH13" s="38">
        <v>26.18653678894043</v>
      </c>
      <c r="AI13" s="16">
        <v>26.011811256408691</v>
      </c>
    </row>
    <row r="14" spans="1:35">
      <c r="A14" s="8" t="s">
        <v>24</v>
      </c>
      <c r="B14" s="8">
        <v>72</v>
      </c>
      <c r="C14" s="8" t="s">
        <v>22</v>
      </c>
      <c r="D14" s="26">
        <v>32.509134292602539</v>
      </c>
      <c r="E14" s="26"/>
      <c r="F14" s="26"/>
      <c r="G14" s="26">
        <v>34.057765960693359</v>
      </c>
      <c r="H14" s="26"/>
      <c r="I14" s="26"/>
      <c r="J14" s="19">
        <v>38.925382614135742</v>
      </c>
      <c r="K14" s="19"/>
      <c r="L14" s="19"/>
      <c r="M14" s="19">
        <v>35.606796264648438</v>
      </c>
      <c r="N14" s="19"/>
      <c r="O14" s="19"/>
      <c r="P14" s="19">
        <v>33.984855651855469</v>
      </c>
      <c r="Q14" s="19"/>
      <c r="R14" s="19"/>
      <c r="S14" s="19">
        <v>26.462152481079102</v>
      </c>
      <c r="T14" s="19"/>
      <c r="U14" s="19"/>
      <c r="V14" s="19">
        <v>25.554981231689453</v>
      </c>
      <c r="W14" s="19"/>
      <c r="X14" s="19"/>
      <c r="Y14" s="19">
        <v>26.070605278015137</v>
      </c>
      <c r="Z14" s="19"/>
      <c r="AA14" s="19"/>
      <c r="AB14" s="19">
        <v>27.710651397705078</v>
      </c>
      <c r="AC14" s="19"/>
      <c r="AD14" s="19"/>
      <c r="AE14" s="19"/>
      <c r="AF14" s="19"/>
      <c r="AG14" s="19">
        <v>25.629493713378906</v>
      </c>
      <c r="AH14" s="38">
        <v>25.109439849853516</v>
      </c>
      <c r="AI14" s="16">
        <v>26.947365760803223</v>
      </c>
    </row>
    <row r="15" spans="1:35">
      <c r="A15" s="28" t="s">
        <v>24</v>
      </c>
      <c r="B15" s="28">
        <v>56</v>
      </c>
      <c r="C15" s="28" t="s">
        <v>23</v>
      </c>
      <c r="D15" s="106">
        <v>28.429106712341309</v>
      </c>
      <c r="E15" s="106"/>
      <c r="F15" s="106"/>
      <c r="G15" s="106">
        <v>32.316608428955078</v>
      </c>
      <c r="H15" s="106"/>
      <c r="I15" s="106"/>
      <c r="J15" s="40">
        <v>36.978326797485352</v>
      </c>
      <c r="K15" s="40"/>
      <c r="L15" s="40"/>
      <c r="M15" s="40">
        <v>31.387290000915527</v>
      </c>
      <c r="N15" s="40"/>
      <c r="O15" s="40"/>
      <c r="P15" s="40">
        <v>32.157899856567383</v>
      </c>
      <c r="Q15" s="40"/>
      <c r="R15" s="40"/>
      <c r="S15" s="40">
        <v>24.778034210205078</v>
      </c>
      <c r="T15" s="40"/>
      <c r="U15" s="40"/>
      <c r="V15" s="40">
        <v>25.671375274658203</v>
      </c>
      <c r="W15" s="40"/>
      <c r="X15" s="40"/>
      <c r="Y15" s="40">
        <v>23.273733139038086</v>
      </c>
      <c r="Z15" s="40"/>
      <c r="AA15" s="40"/>
      <c r="AB15" s="40">
        <v>23.900424957275391</v>
      </c>
      <c r="AC15" s="40"/>
      <c r="AD15" s="40"/>
      <c r="AE15" s="40"/>
      <c r="AF15" s="40"/>
      <c r="AG15" s="40">
        <v>23.756128311157227</v>
      </c>
      <c r="AH15" s="38">
        <v>26.746553421020508</v>
      </c>
      <c r="AI15" s="16">
        <v>26.81120777130127</v>
      </c>
    </row>
    <row r="16" spans="1:35">
      <c r="A16" s="8" t="s">
        <v>24</v>
      </c>
      <c r="B16" s="8">
        <v>74</v>
      </c>
      <c r="C16" s="8" t="s">
        <v>23</v>
      </c>
      <c r="D16" s="26">
        <v>31.609333992004395</v>
      </c>
      <c r="E16" s="26"/>
      <c r="F16" s="26"/>
      <c r="G16" s="26">
        <v>34.748245239257812</v>
      </c>
      <c r="H16" s="26"/>
      <c r="I16" s="26"/>
      <c r="J16" s="19">
        <v>38.706230163574219</v>
      </c>
      <c r="K16" s="19"/>
      <c r="L16" s="19"/>
      <c r="M16" s="19">
        <v>35.940132141113281</v>
      </c>
      <c r="N16" s="19"/>
      <c r="O16" s="19"/>
      <c r="P16" s="19">
        <v>34.731561660766602</v>
      </c>
      <c r="Q16" s="19"/>
      <c r="R16" s="19"/>
      <c r="S16" s="19">
        <v>25.912448883056641</v>
      </c>
      <c r="T16" s="19"/>
      <c r="U16" s="19"/>
      <c r="V16" s="19">
        <v>26.278644561767578</v>
      </c>
      <c r="W16" s="19"/>
      <c r="X16" s="19"/>
      <c r="Y16" s="19">
        <v>26.684160232543945</v>
      </c>
      <c r="Z16" s="19"/>
      <c r="AA16" s="19"/>
      <c r="AB16" s="19">
        <v>27.935264587402344</v>
      </c>
      <c r="AC16" s="19"/>
      <c r="AD16" s="19"/>
      <c r="AE16" s="19"/>
      <c r="AF16" s="19"/>
      <c r="AG16" s="19">
        <v>25.565129280090332</v>
      </c>
      <c r="AH16" s="38">
        <v>25.958392143249512</v>
      </c>
      <c r="AI16" s="43">
        <v>26.93841552734375</v>
      </c>
    </row>
    <row r="17" spans="1:35">
      <c r="A17" s="8" t="s">
        <v>24</v>
      </c>
      <c r="B17" s="8">
        <v>58</v>
      </c>
      <c r="C17" s="8" t="s">
        <v>23</v>
      </c>
      <c r="D17" s="19">
        <v>32.858854293823242</v>
      </c>
      <c r="E17" s="19"/>
      <c r="F17" s="19"/>
      <c r="G17" s="19">
        <v>34.739358901977539</v>
      </c>
      <c r="H17" s="19"/>
      <c r="I17" s="19"/>
      <c r="J17" s="19">
        <v>40</v>
      </c>
      <c r="K17" s="19"/>
      <c r="L17" s="19"/>
      <c r="M17" s="19">
        <v>36.20014762878418</v>
      </c>
      <c r="N17" s="19"/>
      <c r="O17" s="19"/>
      <c r="P17" s="19">
        <v>35.280969619750977</v>
      </c>
      <c r="Q17" s="19"/>
      <c r="R17" s="19"/>
      <c r="S17" s="19">
        <v>26.454635620117188</v>
      </c>
      <c r="T17" s="19"/>
      <c r="U17" s="19"/>
      <c r="V17" s="19">
        <v>26.678460121154785</v>
      </c>
      <c r="W17" s="19"/>
      <c r="X17" s="19"/>
      <c r="Y17" s="19">
        <v>26.219075202941895</v>
      </c>
      <c r="Z17" s="19"/>
      <c r="AA17" s="19"/>
      <c r="AB17" s="19">
        <v>28.077183723449707</v>
      </c>
      <c r="AC17" s="19"/>
      <c r="AD17" s="19"/>
      <c r="AE17" s="19"/>
      <c r="AF17" s="19"/>
      <c r="AG17" s="19">
        <v>25.622065544128418</v>
      </c>
      <c r="AH17" s="38">
        <v>25.941027641296387</v>
      </c>
      <c r="AI17" s="16">
        <v>27.08153247833252</v>
      </c>
    </row>
    <row r="18" spans="1:35">
      <c r="A18" s="8" t="s">
        <v>24</v>
      </c>
      <c r="B18" s="8">
        <v>68</v>
      </c>
      <c r="C18" s="8" t="s">
        <v>23</v>
      </c>
      <c r="D18" s="20">
        <v>32.741039276123047</v>
      </c>
      <c r="E18" s="20"/>
      <c r="F18" s="20"/>
      <c r="G18" s="20">
        <v>35.30735969543457</v>
      </c>
      <c r="H18" s="20"/>
      <c r="I18" s="20"/>
      <c r="J18" s="20">
        <v>39.171236038208008</v>
      </c>
      <c r="K18" s="20"/>
      <c r="L18" s="20"/>
      <c r="M18" s="20">
        <v>36.627616882324219</v>
      </c>
      <c r="N18" s="20"/>
      <c r="O18" s="20"/>
      <c r="P18" s="20">
        <v>33.611427307128906</v>
      </c>
      <c r="Q18" s="20"/>
      <c r="R18" s="20"/>
      <c r="S18" s="20">
        <v>26.345987319946289</v>
      </c>
      <c r="T18" s="20"/>
      <c r="U18" s="20"/>
      <c r="V18" s="20">
        <v>25.645350456237793</v>
      </c>
      <c r="W18" s="20"/>
      <c r="X18" s="20"/>
      <c r="Y18" s="20">
        <v>26.552714347839355</v>
      </c>
      <c r="Z18" s="20"/>
      <c r="AA18" s="20"/>
      <c r="AB18" s="25">
        <v>28.049845695495605</v>
      </c>
      <c r="AC18" s="25"/>
      <c r="AD18" s="25"/>
      <c r="AE18" s="25"/>
      <c r="AF18" s="25"/>
      <c r="AG18" s="20">
        <v>25.376493453979492</v>
      </c>
      <c r="AH18" s="38">
        <v>25.269469261169434</v>
      </c>
      <c r="AI18" s="16">
        <v>28.694740295410156</v>
      </c>
    </row>
    <row r="19" spans="1:35">
      <c r="A19" s="8" t="s">
        <v>24</v>
      </c>
      <c r="B19" s="21" t="s">
        <v>25</v>
      </c>
      <c r="C19" s="21" t="s">
        <v>22</v>
      </c>
      <c r="D19" s="20">
        <v>31.916044235229492</v>
      </c>
      <c r="E19" s="20"/>
      <c r="F19" s="20"/>
      <c r="G19" s="20">
        <v>35.746992111206055</v>
      </c>
      <c r="H19" s="20"/>
      <c r="I19" s="20"/>
      <c r="J19" s="20">
        <v>39.380033493041992</v>
      </c>
      <c r="K19" s="20"/>
      <c r="L19" s="20"/>
      <c r="M19" s="20">
        <v>36.23760986328125</v>
      </c>
      <c r="N19" s="20"/>
      <c r="O19" s="20"/>
      <c r="P19" s="20">
        <v>34.309125900268555</v>
      </c>
      <c r="Q19" s="20"/>
      <c r="R19" s="20"/>
      <c r="S19" s="20">
        <v>26.621423721313477</v>
      </c>
      <c r="T19" s="20"/>
      <c r="U19" s="20"/>
      <c r="V19" s="20">
        <v>26.339818954467773</v>
      </c>
      <c r="W19" s="20"/>
      <c r="X19" s="20"/>
      <c r="Y19" s="20">
        <v>26.847853660583496</v>
      </c>
      <c r="Z19" s="20"/>
      <c r="AA19" s="20"/>
      <c r="AB19" s="25">
        <v>27.554132461547852</v>
      </c>
      <c r="AC19" s="25"/>
      <c r="AD19" s="25"/>
      <c r="AE19" s="25"/>
      <c r="AF19" s="25"/>
      <c r="AG19" s="20">
        <v>25.804936408996582</v>
      </c>
      <c r="AH19" s="38">
        <v>24.439927101135254</v>
      </c>
      <c r="AI19" s="16">
        <v>25.949980735778809</v>
      </c>
    </row>
    <row r="20" spans="1:35">
      <c r="A20" s="8" t="s">
        <v>24</v>
      </c>
      <c r="B20" s="21" t="s">
        <v>25</v>
      </c>
      <c r="C20" s="21" t="s">
        <v>22</v>
      </c>
      <c r="D20" s="20">
        <v>32.299598693847656</v>
      </c>
      <c r="E20" s="20"/>
      <c r="F20" s="20"/>
      <c r="G20" s="20">
        <v>35.115007400512695</v>
      </c>
      <c r="H20" s="20"/>
      <c r="I20" s="20"/>
      <c r="J20" s="20">
        <v>39.671854019165039</v>
      </c>
      <c r="K20" s="20"/>
      <c r="L20" s="20"/>
      <c r="M20" s="20">
        <v>36.483285903930664</v>
      </c>
      <c r="N20" s="20"/>
      <c r="O20" s="20"/>
      <c r="P20" s="20">
        <v>34.621383666992188</v>
      </c>
      <c r="Q20" s="20"/>
      <c r="R20" s="20"/>
      <c r="S20" s="20">
        <v>26.875400543212891</v>
      </c>
      <c r="T20" s="20"/>
      <c r="U20" s="20"/>
      <c r="V20" s="20">
        <v>26.599519729614258</v>
      </c>
      <c r="W20" s="20"/>
      <c r="X20" s="20"/>
      <c r="Y20" s="20">
        <v>26.202402114868164</v>
      </c>
      <c r="Z20" s="20"/>
      <c r="AA20" s="20"/>
      <c r="AB20" s="25">
        <v>27.911803245544434</v>
      </c>
      <c r="AC20" s="25"/>
      <c r="AD20" s="25"/>
      <c r="AE20" s="25"/>
      <c r="AF20" s="25"/>
      <c r="AG20" s="20">
        <v>25.888672828674316</v>
      </c>
      <c r="AH20" s="38">
        <v>24.291369438171387</v>
      </c>
      <c r="AI20" s="16">
        <v>26.977445602416992</v>
      </c>
    </row>
    <row r="21" spans="1:35">
      <c r="A21" s="8" t="s">
        <v>24</v>
      </c>
      <c r="B21" s="21" t="s">
        <v>26</v>
      </c>
      <c r="C21" s="21" t="s">
        <v>22</v>
      </c>
      <c r="D21" s="20">
        <v>31.303956985473633</v>
      </c>
      <c r="E21" s="20"/>
      <c r="F21" s="20"/>
      <c r="G21" s="20">
        <v>35.111183166503906</v>
      </c>
      <c r="H21" s="20"/>
      <c r="I21" s="20"/>
      <c r="J21" s="20">
        <v>39.334417343139648</v>
      </c>
      <c r="K21" s="20"/>
      <c r="L21" s="20"/>
      <c r="M21" s="20">
        <v>34.462848663330078</v>
      </c>
      <c r="N21" s="20"/>
      <c r="O21" s="20"/>
      <c r="P21" s="20">
        <v>35.090848922729492</v>
      </c>
      <c r="Q21" s="20"/>
      <c r="R21" s="20"/>
      <c r="S21" s="20">
        <v>26.811049461364746</v>
      </c>
      <c r="T21" s="20"/>
      <c r="U21" s="20"/>
      <c r="V21" s="20">
        <v>26.223611831665039</v>
      </c>
      <c r="W21" s="20"/>
      <c r="X21" s="20"/>
      <c r="Y21" s="20">
        <v>25.896806716918945</v>
      </c>
      <c r="Z21" s="20"/>
      <c r="AA21" s="20"/>
      <c r="AB21" s="25">
        <v>26.525813102722168</v>
      </c>
      <c r="AC21" s="25"/>
      <c r="AD21" s="25"/>
      <c r="AE21" s="25"/>
      <c r="AF21" s="25"/>
      <c r="AG21" s="20">
        <v>25.716724395751953</v>
      </c>
      <c r="AH21" s="38">
        <v>25.159775733947754</v>
      </c>
      <c r="AI21" s="16">
        <v>26.699151039123535</v>
      </c>
    </row>
    <row r="22" spans="1:35">
      <c r="A22" s="8" t="s">
        <v>24</v>
      </c>
      <c r="B22" s="21" t="s">
        <v>26</v>
      </c>
      <c r="C22" s="21" t="s">
        <v>22</v>
      </c>
      <c r="D22" s="20">
        <v>32.652362823486328</v>
      </c>
      <c r="E22" s="20"/>
      <c r="F22" s="20"/>
      <c r="G22" s="20">
        <v>36.043909072875977</v>
      </c>
      <c r="H22" s="20"/>
      <c r="I22" s="20"/>
      <c r="J22" s="20">
        <v>40</v>
      </c>
      <c r="K22" s="20"/>
      <c r="L22" s="20"/>
      <c r="M22" s="20">
        <v>37.536626815795898</v>
      </c>
      <c r="N22" s="20"/>
      <c r="O22" s="20"/>
      <c r="P22" s="20">
        <v>34.699594497680664</v>
      </c>
      <c r="Q22" s="20"/>
      <c r="R22" s="20"/>
      <c r="S22" s="20">
        <v>26.696047782897949</v>
      </c>
      <c r="T22" s="20"/>
      <c r="U22" s="20"/>
      <c r="V22" s="20">
        <v>26.489494323730469</v>
      </c>
      <c r="W22" s="20"/>
      <c r="X22" s="20"/>
      <c r="Y22" s="20">
        <v>25.766737937927246</v>
      </c>
      <c r="Z22" s="20"/>
      <c r="AA22" s="20"/>
      <c r="AB22" s="25">
        <v>28.168785095214844</v>
      </c>
      <c r="AC22" s="25"/>
      <c r="AD22" s="25"/>
      <c r="AE22" s="25"/>
      <c r="AF22" s="25"/>
      <c r="AG22" s="20">
        <v>25.765518188476562</v>
      </c>
      <c r="AH22" s="38">
        <v>25.165372848510742</v>
      </c>
      <c r="AI22" s="16">
        <v>27.177470207214355</v>
      </c>
    </row>
    <row r="23" spans="1:35">
      <c r="A23" s="8" t="s">
        <v>24</v>
      </c>
      <c r="B23" s="8">
        <v>66</v>
      </c>
      <c r="C23" s="8" t="s">
        <v>23</v>
      </c>
      <c r="D23" s="19">
        <v>36.812797546386719</v>
      </c>
      <c r="E23" s="19"/>
      <c r="F23" s="19"/>
      <c r="G23" s="19">
        <v>39.271156311035156</v>
      </c>
      <c r="H23" s="19"/>
      <c r="I23" s="19"/>
      <c r="J23" s="19">
        <v>40</v>
      </c>
      <c r="K23" s="19"/>
      <c r="L23" s="19"/>
      <c r="M23" s="19">
        <v>40</v>
      </c>
      <c r="N23" s="19"/>
      <c r="O23" s="19"/>
      <c r="P23" s="19">
        <v>34.651979446411133</v>
      </c>
      <c r="Q23" s="19"/>
      <c r="R23" s="19"/>
      <c r="S23" s="19">
        <v>25.531301498413086</v>
      </c>
      <c r="T23" s="19"/>
      <c r="U23" s="19"/>
      <c r="V23" s="19">
        <v>26.313300132751465</v>
      </c>
      <c r="W23" s="19"/>
      <c r="X23" s="19"/>
      <c r="Y23" s="19">
        <v>29.083057403564453</v>
      </c>
      <c r="Z23" s="19"/>
      <c r="AA23" s="19"/>
      <c r="AB23" s="19">
        <v>28.770859718322754</v>
      </c>
      <c r="AC23" s="19"/>
      <c r="AD23" s="19"/>
      <c r="AE23" s="19"/>
      <c r="AF23" s="19"/>
      <c r="AG23" s="19">
        <v>25.875930786132812</v>
      </c>
      <c r="AH23" s="38">
        <v>25.607148170471191</v>
      </c>
      <c r="AI23" s="105">
        <v>27.00955867767334</v>
      </c>
    </row>
    <row r="24" spans="1:35">
      <c r="A24" s="8" t="s">
        <v>24</v>
      </c>
      <c r="B24" s="8">
        <v>66</v>
      </c>
      <c r="C24" s="8" t="s">
        <v>23</v>
      </c>
      <c r="D24" s="19">
        <v>38.579389572143555</v>
      </c>
      <c r="E24" s="19"/>
      <c r="F24" s="19"/>
      <c r="G24" s="19">
        <v>39.854108810424805</v>
      </c>
      <c r="H24" s="19"/>
      <c r="I24" s="19"/>
      <c r="J24" s="19">
        <v>40</v>
      </c>
      <c r="K24" s="19"/>
      <c r="L24" s="19"/>
      <c r="M24" s="19">
        <v>40</v>
      </c>
      <c r="N24" s="19"/>
      <c r="O24" s="19"/>
      <c r="P24" s="19">
        <v>35.18931770324707</v>
      </c>
      <c r="Q24" s="19"/>
      <c r="R24" s="19"/>
      <c r="S24" s="19">
        <v>26.140146255493164</v>
      </c>
      <c r="T24" s="19"/>
      <c r="U24" s="19"/>
      <c r="V24" s="19">
        <v>26.648980140686035</v>
      </c>
      <c r="W24" s="19"/>
      <c r="X24" s="19"/>
      <c r="Y24" s="19">
        <v>30.786911964416504</v>
      </c>
      <c r="Z24" s="19"/>
      <c r="AA24" s="19"/>
      <c r="AB24" s="19">
        <v>30.168237686157227</v>
      </c>
      <c r="AC24" s="19"/>
      <c r="AD24" s="19"/>
      <c r="AE24" s="19"/>
      <c r="AF24" s="19"/>
      <c r="AG24" s="19">
        <v>25.900570869445801</v>
      </c>
      <c r="AH24" s="38">
        <v>24.499608039855957</v>
      </c>
      <c r="AI24" s="105">
        <v>26.673979759216309</v>
      </c>
    </row>
    <row r="25" spans="1:35">
      <c r="A25" s="34" t="s">
        <v>17</v>
      </c>
      <c r="B25" s="34">
        <v>82</v>
      </c>
      <c r="C25" s="34" t="s">
        <v>18</v>
      </c>
      <c r="E25" s="36">
        <v>31.28</v>
      </c>
      <c r="F25" s="36"/>
      <c r="G25" s="36"/>
      <c r="H25" s="36">
        <v>34.35</v>
      </c>
      <c r="I25" s="36"/>
      <c r="J25" s="36"/>
      <c r="K25" s="36">
        <v>34.1</v>
      </c>
      <c r="L25" s="36"/>
      <c r="M25" s="36"/>
      <c r="N25" s="36">
        <v>31.18</v>
      </c>
      <c r="O25" s="36"/>
      <c r="P25" s="36"/>
      <c r="Q25" s="36">
        <v>33.6</v>
      </c>
      <c r="R25" s="36"/>
      <c r="S25" s="36"/>
      <c r="T25" s="36">
        <v>27.2</v>
      </c>
      <c r="U25" s="36"/>
      <c r="V25" s="36"/>
      <c r="W25" s="36">
        <v>23.51</v>
      </c>
      <c r="X25" s="36"/>
      <c r="Y25" s="36"/>
      <c r="Z25" s="36">
        <v>24.76</v>
      </c>
      <c r="AA25" s="36"/>
      <c r="AB25" s="36"/>
      <c r="AC25" s="36">
        <v>25.55</v>
      </c>
      <c r="AD25" s="36"/>
      <c r="AE25" s="36"/>
      <c r="AF25" s="36"/>
      <c r="AG25" s="9">
        <v>25.33</v>
      </c>
      <c r="AH25" s="36">
        <v>25.6</v>
      </c>
      <c r="AI25" s="105">
        <v>27.635905265808105</v>
      </c>
    </row>
    <row r="26" spans="1:35">
      <c r="A26" s="34" t="s">
        <v>17</v>
      </c>
      <c r="B26" s="34">
        <v>68</v>
      </c>
      <c r="C26" s="34" t="s">
        <v>20</v>
      </c>
      <c r="E26" s="36">
        <v>33.17</v>
      </c>
      <c r="F26" s="36"/>
      <c r="G26" s="36"/>
      <c r="H26" s="36">
        <v>37.82</v>
      </c>
      <c r="I26" s="36"/>
      <c r="J26" s="36"/>
      <c r="K26" s="36">
        <v>40</v>
      </c>
      <c r="L26" s="36"/>
      <c r="M26" s="36"/>
      <c r="N26" s="36">
        <v>34.08</v>
      </c>
      <c r="O26" s="36"/>
      <c r="P26" s="36"/>
      <c r="Q26" s="36">
        <v>34.53</v>
      </c>
      <c r="R26" s="36"/>
      <c r="S26" s="36"/>
      <c r="T26" s="36">
        <v>27.78</v>
      </c>
      <c r="U26" s="36"/>
      <c r="V26" s="36"/>
      <c r="W26" s="36">
        <v>24.36</v>
      </c>
      <c r="X26" s="36"/>
      <c r="Y26" s="36"/>
      <c r="Z26" s="36">
        <v>25.91</v>
      </c>
      <c r="AA26" s="36"/>
      <c r="AB26" s="36"/>
      <c r="AC26" s="36">
        <v>27.1</v>
      </c>
      <c r="AD26" s="36"/>
      <c r="AE26" s="36"/>
      <c r="AF26" s="36"/>
      <c r="AG26" s="9">
        <v>24.74</v>
      </c>
      <c r="AH26" s="36">
        <v>26.92</v>
      </c>
      <c r="AI26" s="105">
        <v>26.798094749450684</v>
      </c>
    </row>
    <row r="27" spans="1:35">
      <c r="A27" s="34" t="s">
        <v>17</v>
      </c>
      <c r="B27" s="34">
        <v>75</v>
      </c>
      <c r="C27" s="34" t="s">
        <v>18</v>
      </c>
      <c r="E27" s="36">
        <v>32.32</v>
      </c>
      <c r="F27" s="36"/>
      <c r="G27" s="36"/>
      <c r="H27" s="36">
        <v>36.79</v>
      </c>
      <c r="I27" s="36"/>
      <c r="J27" s="36"/>
      <c r="K27" s="36">
        <v>39.22</v>
      </c>
      <c r="L27" s="36"/>
      <c r="M27" s="36"/>
      <c r="N27" s="36">
        <v>34.58</v>
      </c>
      <c r="O27" s="36"/>
      <c r="P27" s="36"/>
      <c r="Q27" s="36">
        <v>37.090000000000003</v>
      </c>
      <c r="R27" s="36"/>
      <c r="S27" s="36"/>
      <c r="T27" s="36">
        <v>27.11</v>
      </c>
      <c r="U27" s="36"/>
      <c r="V27" s="36"/>
      <c r="W27" s="36">
        <v>23.47</v>
      </c>
      <c r="X27" s="36"/>
      <c r="Y27" s="36"/>
      <c r="Z27" s="36">
        <v>24.41</v>
      </c>
      <c r="AA27" s="36"/>
      <c r="AB27" s="36"/>
      <c r="AC27" s="36">
        <v>26.19</v>
      </c>
      <c r="AD27" s="36"/>
      <c r="AE27" s="36"/>
      <c r="AF27" s="36"/>
      <c r="AG27" s="9">
        <v>25.21</v>
      </c>
      <c r="AH27" s="36">
        <v>25.76</v>
      </c>
      <c r="AI27" s="105">
        <v>27.326390266418457</v>
      </c>
    </row>
    <row r="28" spans="1:35">
      <c r="A28" s="34" t="s">
        <v>19</v>
      </c>
      <c r="B28" s="34">
        <v>62</v>
      </c>
      <c r="C28" s="34" t="s">
        <v>20</v>
      </c>
      <c r="E28" s="36">
        <v>34.47</v>
      </c>
      <c r="F28" s="36"/>
      <c r="G28" s="36"/>
      <c r="H28" s="36">
        <v>39.26</v>
      </c>
      <c r="I28" s="36"/>
      <c r="J28" s="36"/>
      <c r="K28" s="36">
        <v>40</v>
      </c>
      <c r="L28" s="36"/>
      <c r="M28" s="36"/>
      <c r="N28" s="36">
        <v>36.26</v>
      </c>
      <c r="O28" s="36"/>
      <c r="P28" s="36"/>
      <c r="Q28" s="36">
        <v>36.369999999999997</v>
      </c>
      <c r="R28" s="36"/>
      <c r="S28" s="36"/>
      <c r="T28" s="36">
        <v>30.51</v>
      </c>
      <c r="U28" s="36"/>
      <c r="V28" s="36"/>
      <c r="W28" s="36">
        <v>25.25</v>
      </c>
      <c r="X28" s="36"/>
      <c r="Y28" s="36"/>
      <c r="Z28" s="36">
        <v>27.58</v>
      </c>
      <c r="AA28" s="36"/>
      <c r="AB28" s="36"/>
      <c r="AC28" s="36">
        <v>29.37</v>
      </c>
      <c r="AD28" s="36"/>
      <c r="AE28" s="36"/>
      <c r="AF28" s="36"/>
      <c r="AG28" s="9">
        <v>24.79</v>
      </c>
      <c r="AH28" s="36">
        <v>27.24</v>
      </c>
      <c r="AI28" s="45">
        <v>25.750479698181152</v>
      </c>
    </row>
    <row r="29" spans="1:35">
      <c r="A29" s="34" t="s">
        <v>19</v>
      </c>
      <c r="B29" s="34">
        <v>74</v>
      </c>
      <c r="C29" s="34" t="s">
        <v>20</v>
      </c>
      <c r="E29" s="36">
        <v>35.03</v>
      </c>
      <c r="F29" s="36"/>
      <c r="G29" s="36"/>
      <c r="H29" s="36">
        <v>38.11</v>
      </c>
      <c r="I29" s="36"/>
      <c r="J29" s="36"/>
      <c r="K29" s="36">
        <v>40</v>
      </c>
      <c r="L29" s="36"/>
      <c r="M29" s="36"/>
      <c r="N29" s="36">
        <v>36.26</v>
      </c>
      <c r="O29" s="36"/>
      <c r="P29" s="36"/>
      <c r="Q29" s="36">
        <v>35.31</v>
      </c>
      <c r="R29" s="36"/>
      <c r="S29" s="36"/>
      <c r="T29" s="36">
        <v>28.14</v>
      </c>
      <c r="U29" s="36"/>
      <c r="V29" s="36"/>
      <c r="W29" s="36">
        <v>23.82</v>
      </c>
      <c r="X29" s="36"/>
      <c r="Y29" s="36"/>
      <c r="Z29" s="36">
        <v>26.75</v>
      </c>
      <c r="AA29" s="36"/>
      <c r="AB29" s="36"/>
      <c r="AC29" s="36">
        <v>28.04</v>
      </c>
      <c r="AD29" s="36"/>
      <c r="AE29" s="36"/>
      <c r="AF29" s="36"/>
      <c r="AG29" s="9">
        <v>24.89</v>
      </c>
      <c r="AH29" s="36">
        <v>26.92</v>
      </c>
      <c r="AI29" s="16">
        <v>26.445732116699219</v>
      </c>
    </row>
    <row r="30" spans="1:35">
      <c r="A30" s="34" t="s">
        <v>27</v>
      </c>
      <c r="B30" s="34">
        <v>71</v>
      </c>
      <c r="C30" s="34" t="s">
        <v>23</v>
      </c>
      <c r="E30" s="38">
        <v>38.05341911315918</v>
      </c>
      <c r="F30" s="38"/>
      <c r="G30" s="38"/>
      <c r="H30" s="38">
        <v>39.56071662902832</v>
      </c>
      <c r="I30" s="38"/>
      <c r="J30" s="38"/>
      <c r="K30" s="38">
        <v>40</v>
      </c>
      <c r="L30" s="38"/>
      <c r="M30" s="38"/>
      <c r="N30" s="38">
        <v>40</v>
      </c>
      <c r="O30" s="38"/>
      <c r="P30" s="38"/>
      <c r="Q30" s="38">
        <v>38.994850158691406</v>
      </c>
      <c r="R30" s="38"/>
      <c r="S30" s="38"/>
      <c r="T30" s="38">
        <v>28.728985786437988</v>
      </c>
      <c r="U30" s="38"/>
      <c r="V30" s="38"/>
      <c r="W30" s="38">
        <v>28.704724311828613</v>
      </c>
      <c r="X30" s="38"/>
      <c r="Y30" s="38"/>
      <c r="Z30" s="38">
        <v>29.033700942993164</v>
      </c>
      <c r="AA30" s="38"/>
      <c r="AB30" s="38"/>
      <c r="AC30" s="38">
        <v>28.926263809204102</v>
      </c>
      <c r="AD30" s="38"/>
      <c r="AE30" s="38"/>
      <c r="AF30" s="38"/>
      <c r="AG30" s="9">
        <v>26.32</v>
      </c>
      <c r="AH30" s="38">
        <v>25.754510879516602</v>
      </c>
      <c r="AI30" s="16">
        <v>27.369719505310059</v>
      </c>
    </row>
    <row r="31" spans="1:35">
      <c r="A31" s="34" t="s">
        <v>27</v>
      </c>
      <c r="B31" s="34">
        <v>71</v>
      </c>
      <c r="C31" s="34" t="s">
        <v>23</v>
      </c>
      <c r="E31" s="38">
        <v>40</v>
      </c>
      <c r="F31" s="38"/>
      <c r="G31" s="38"/>
      <c r="H31" s="38">
        <v>39.222053527832031</v>
      </c>
      <c r="I31" s="38"/>
      <c r="J31" s="38"/>
      <c r="K31" s="38">
        <v>40</v>
      </c>
      <c r="L31" s="38"/>
      <c r="M31" s="38"/>
      <c r="N31" s="38">
        <v>40</v>
      </c>
      <c r="O31" s="38"/>
      <c r="P31" s="38"/>
      <c r="Q31" s="38">
        <v>38.673877716064453</v>
      </c>
      <c r="R31" s="38"/>
      <c r="S31" s="38"/>
      <c r="T31" s="38">
        <v>29.055211067199707</v>
      </c>
      <c r="U31" s="38"/>
      <c r="V31" s="38"/>
      <c r="W31" s="38">
        <v>28.714556694030762</v>
      </c>
      <c r="X31" s="38"/>
      <c r="Y31" s="38"/>
      <c r="Z31" s="38">
        <v>30.386059761047363</v>
      </c>
      <c r="AA31" s="38"/>
      <c r="AB31" s="38"/>
      <c r="AC31" s="38">
        <v>30.7138671875</v>
      </c>
      <c r="AD31" s="38"/>
      <c r="AE31" s="38"/>
      <c r="AF31" s="38"/>
      <c r="AG31" s="32">
        <v>25.96</v>
      </c>
      <c r="AH31" s="38">
        <v>26.170022010803223</v>
      </c>
      <c r="AI31" s="16">
        <v>26.061532974243164</v>
      </c>
    </row>
    <row r="32" spans="1:35">
      <c r="A32" s="34" t="s">
        <v>27</v>
      </c>
      <c r="B32" s="34">
        <v>82</v>
      </c>
      <c r="C32" s="34" t="s">
        <v>23</v>
      </c>
      <c r="E32" s="38">
        <v>37.853763580322266</v>
      </c>
      <c r="F32" s="38"/>
      <c r="G32" s="38"/>
      <c r="H32" s="38">
        <v>38.030477523803711</v>
      </c>
      <c r="I32" s="38"/>
      <c r="J32" s="38"/>
      <c r="K32" s="38">
        <v>40</v>
      </c>
      <c r="L32" s="38"/>
      <c r="M32" s="38"/>
      <c r="N32" s="38">
        <v>40</v>
      </c>
      <c r="O32" s="38"/>
      <c r="P32" s="38"/>
      <c r="Q32" s="38">
        <v>33.607248306274414</v>
      </c>
      <c r="R32" s="38"/>
      <c r="S32" s="38"/>
      <c r="T32" s="38">
        <v>26.798136711120605</v>
      </c>
      <c r="U32" s="38"/>
      <c r="V32" s="38"/>
      <c r="W32" s="38">
        <v>25.804750442504883</v>
      </c>
      <c r="X32" s="38"/>
      <c r="Y32" s="38"/>
      <c r="Z32" s="38">
        <v>29.205352783203125</v>
      </c>
      <c r="AA32" s="38"/>
      <c r="AB32" s="38"/>
      <c r="AC32" s="38">
        <v>29.766219139099121</v>
      </c>
      <c r="AD32" s="38"/>
      <c r="AE32" s="38"/>
      <c r="AF32" s="38"/>
      <c r="AG32" s="9">
        <v>26.95</v>
      </c>
      <c r="AH32" s="38">
        <v>25.785594940185547</v>
      </c>
      <c r="AI32" s="16">
        <v>26.275513648986816</v>
      </c>
    </row>
    <row r="33" spans="1:35">
      <c r="A33" s="34" t="s">
        <v>27</v>
      </c>
      <c r="B33" s="34">
        <v>62</v>
      </c>
      <c r="C33" s="34" t="s">
        <v>22</v>
      </c>
      <c r="E33" s="38">
        <v>33.094646453857422</v>
      </c>
      <c r="F33" s="38"/>
      <c r="G33" s="38"/>
      <c r="H33" s="38">
        <v>36.974239349365234</v>
      </c>
      <c r="I33" s="38"/>
      <c r="J33" s="38"/>
      <c r="K33" s="38">
        <v>40</v>
      </c>
      <c r="L33" s="38"/>
      <c r="M33" s="38"/>
      <c r="N33" s="38">
        <v>37.996599197387695</v>
      </c>
      <c r="O33" s="38"/>
      <c r="P33" s="38"/>
      <c r="Q33" s="38">
        <v>36.203933715820312</v>
      </c>
      <c r="R33" s="38"/>
      <c r="S33" s="38"/>
      <c r="T33" s="38">
        <v>28.879096984863281</v>
      </c>
      <c r="U33" s="38"/>
      <c r="V33" s="38"/>
      <c r="W33" s="38">
        <v>26.716170310974121</v>
      </c>
      <c r="X33" s="38"/>
      <c r="Y33" s="38"/>
      <c r="Z33" s="38">
        <v>27.304661750793457</v>
      </c>
      <c r="AA33" s="38"/>
      <c r="AB33" s="38"/>
      <c r="AC33" s="38">
        <v>28.400535583496094</v>
      </c>
      <c r="AD33" s="38"/>
      <c r="AE33" s="38"/>
      <c r="AF33" s="38"/>
      <c r="AG33" s="9">
        <v>26.26</v>
      </c>
      <c r="AH33" s="38">
        <v>25.944443702697754</v>
      </c>
      <c r="AI33" s="16">
        <v>25.692399024963379</v>
      </c>
    </row>
    <row r="34" spans="1:35">
      <c r="A34" s="34" t="s">
        <v>27</v>
      </c>
      <c r="B34" s="34">
        <v>68</v>
      </c>
      <c r="C34" s="34" t="s">
        <v>22</v>
      </c>
      <c r="E34" s="38">
        <v>32.305141448974609</v>
      </c>
      <c r="F34" s="38"/>
      <c r="G34" s="38"/>
      <c r="H34" s="38">
        <v>35.337961196899414</v>
      </c>
      <c r="I34" s="38"/>
      <c r="J34" s="38"/>
      <c r="K34" s="38">
        <v>39.583267211914062</v>
      </c>
      <c r="L34" s="38"/>
      <c r="M34" s="38"/>
      <c r="N34" s="38">
        <v>35.492212295532227</v>
      </c>
      <c r="O34" s="38"/>
      <c r="P34" s="38"/>
      <c r="Q34" s="38">
        <v>34.609086990356445</v>
      </c>
      <c r="R34" s="38"/>
      <c r="S34" s="38"/>
      <c r="T34" s="38">
        <v>26.200319290161133</v>
      </c>
      <c r="U34" s="38"/>
      <c r="V34" s="38"/>
      <c r="W34" s="38">
        <v>26.17035961151123</v>
      </c>
      <c r="X34" s="38"/>
      <c r="Y34" s="38"/>
      <c r="Z34" s="38">
        <v>26.608442306518555</v>
      </c>
      <c r="AA34" s="38"/>
      <c r="AB34" s="38"/>
      <c r="AC34" s="38">
        <v>27.644565582275391</v>
      </c>
      <c r="AD34" s="38"/>
      <c r="AE34" s="38"/>
      <c r="AF34" s="38"/>
      <c r="AG34" s="9">
        <v>26.47</v>
      </c>
      <c r="AH34" s="38">
        <v>26.311286926269531</v>
      </c>
      <c r="AI34" s="16">
        <v>25.936121940612793</v>
      </c>
    </row>
    <row r="35" spans="1:35">
      <c r="A35" s="34" t="s">
        <v>27</v>
      </c>
      <c r="B35" s="34">
        <v>74</v>
      </c>
      <c r="C35" s="34" t="s">
        <v>22</v>
      </c>
      <c r="E35" s="38">
        <v>33.508443832397461</v>
      </c>
      <c r="F35" s="38"/>
      <c r="G35" s="38"/>
      <c r="H35" s="38">
        <v>36.63543701171875</v>
      </c>
      <c r="I35" s="38"/>
      <c r="J35" s="38"/>
      <c r="K35" s="38">
        <v>40</v>
      </c>
      <c r="L35" s="38"/>
      <c r="M35" s="38"/>
      <c r="N35" s="38">
        <v>37.046100616455078</v>
      </c>
      <c r="O35" s="38"/>
      <c r="P35" s="38"/>
      <c r="Q35" s="38">
        <v>33.645772933959961</v>
      </c>
      <c r="R35" s="38"/>
      <c r="S35" s="38"/>
      <c r="T35" s="38">
        <v>26.813159942626953</v>
      </c>
      <c r="U35" s="38"/>
      <c r="V35" s="38"/>
      <c r="W35" s="38">
        <v>25.320465087890625</v>
      </c>
      <c r="X35" s="38"/>
      <c r="Y35" s="38"/>
      <c r="Z35" s="38">
        <v>25.344223022460938</v>
      </c>
      <c r="AA35" s="38"/>
      <c r="AB35" s="38"/>
      <c r="AC35" s="38">
        <v>28.457780838012695</v>
      </c>
      <c r="AD35" s="38"/>
      <c r="AE35" s="38"/>
      <c r="AF35" s="38"/>
      <c r="AG35" s="19">
        <v>24.921597480773926</v>
      </c>
      <c r="AH35" s="38">
        <v>26.146662712097168</v>
      </c>
      <c r="AI35" s="16">
        <v>26.162481307983398</v>
      </c>
    </row>
    <row r="36" spans="1:35">
      <c r="A36" s="34" t="s">
        <v>27</v>
      </c>
      <c r="B36" s="39" t="s">
        <v>28</v>
      </c>
      <c r="C36" s="34" t="s">
        <v>23</v>
      </c>
      <c r="E36" s="38">
        <v>31.393571853637695</v>
      </c>
      <c r="F36" s="38"/>
      <c r="G36" s="38"/>
      <c r="H36" s="38">
        <v>34.19080924987793</v>
      </c>
      <c r="I36" s="38"/>
      <c r="J36" s="38"/>
      <c r="K36" s="38">
        <v>38.967849731445312</v>
      </c>
      <c r="L36" s="38"/>
      <c r="M36" s="38"/>
      <c r="N36" s="38">
        <v>34.956092834472656</v>
      </c>
      <c r="O36" s="38"/>
      <c r="P36" s="38"/>
      <c r="Q36" s="38">
        <v>33.981447219848633</v>
      </c>
      <c r="R36" s="38"/>
      <c r="S36" s="38"/>
      <c r="T36" s="38">
        <v>25.457904815673828</v>
      </c>
      <c r="U36" s="38"/>
      <c r="V36" s="38"/>
      <c r="W36" s="38">
        <v>25.43853759765625</v>
      </c>
      <c r="X36" s="38"/>
      <c r="Y36" s="38"/>
      <c r="Z36" s="38">
        <v>25.93552303314209</v>
      </c>
      <c r="AA36" s="38"/>
      <c r="AB36" s="38"/>
      <c r="AC36" s="38">
        <v>26.635406494140625</v>
      </c>
      <c r="AD36" s="38"/>
      <c r="AE36" s="38"/>
      <c r="AF36" s="38"/>
      <c r="AG36" s="19">
        <v>25.653509140014648</v>
      </c>
      <c r="AH36" s="38">
        <v>25.153440475463867</v>
      </c>
      <c r="AI36" s="16">
        <v>26.418791770935059</v>
      </c>
    </row>
    <row r="37" spans="1:35">
      <c r="A37" s="34" t="s">
        <v>27</v>
      </c>
      <c r="B37" s="39" t="s">
        <v>29</v>
      </c>
      <c r="C37" s="34" t="s">
        <v>22</v>
      </c>
      <c r="E37" s="38">
        <v>33.138967514038086</v>
      </c>
      <c r="F37" s="38"/>
      <c r="G37" s="38"/>
      <c r="H37" s="38">
        <v>36.545309066772461</v>
      </c>
      <c r="I37" s="38"/>
      <c r="J37" s="38"/>
      <c r="K37" s="38">
        <v>40</v>
      </c>
      <c r="L37" s="38"/>
      <c r="M37" s="38"/>
      <c r="N37" s="38">
        <v>37.135629653930664</v>
      </c>
      <c r="O37" s="38"/>
      <c r="P37" s="38"/>
      <c r="Q37" s="38">
        <v>35.149057388305664</v>
      </c>
      <c r="R37" s="38"/>
      <c r="S37" s="38"/>
      <c r="T37" s="38">
        <v>26.906167984008789</v>
      </c>
      <c r="U37" s="38"/>
      <c r="V37" s="38"/>
      <c r="W37" s="38">
        <v>26.899556159973145</v>
      </c>
      <c r="X37" s="38"/>
      <c r="Y37" s="38"/>
      <c r="Z37" s="38">
        <v>27.156764030456543</v>
      </c>
      <c r="AA37" s="38"/>
      <c r="AB37" s="38"/>
      <c r="AC37" s="38">
        <v>28.346919059753418</v>
      </c>
      <c r="AD37" s="38"/>
      <c r="AE37" s="38"/>
      <c r="AF37" s="38"/>
      <c r="AG37" s="40">
        <v>23.699470520019531</v>
      </c>
      <c r="AH37" s="38">
        <v>26.856020927429199</v>
      </c>
      <c r="AI37" s="16">
        <v>26.962908744812012</v>
      </c>
    </row>
    <row r="38" spans="1:35">
      <c r="A38" s="34" t="s">
        <v>27</v>
      </c>
      <c r="B38" s="39" t="s">
        <v>29</v>
      </c>
      <c r="C38" s="34" t="s">
        <v>22</v>
      </c>
      <c r="E38" s="38">
        <v>32.504926681518555</v>
      </c>
      <c r="F38" s="38"/>
      <c r="G38" s="38"/>
      <c r="H38" s="38">
        <v>35.889270782470703</v>
      </c>
      <c r="I38" s="38"/>
      <c r="J38" s="38"/>
      <c r="K38" s="38">
        <v>40</v>
      </c>
      <c r="L38" s="38"/>
      <c r="M38" s="38"/>
      <c r="N38" s="38">
        <v>37.159219741821289</v>
      </c>
      <c r="O38" s="38"/>
      <c r="P38" s="38"/>
      <c r="Q38" s="38">
        <v>34.762302398681641</v>
      </c>
      <c r="R38" s="38"/>
      <c r="S38" s="38"/>
      <c r="T38" s="38">
        <v>27.275318145751935</v>
      </c>
      <c r="U38" s="38"/>
      <c r="V38" s="38"/>
      <c r="W38" s="38">
        <v>28.036161422729492</v>
      </c>
      <c r="X38" s="38"/>
      <c r="Y38" s="38"/>
      <c r="Z38" s="38">
        <v>26.799737930297852</v>
      </c>
      <c r="AA38" s="38"/>
      <c r="AB38" s="38"/>
      <c r="AC38" s="38">
        <v>28.887152671813965</v>
      </c>
      <c r="AD38" s="38"/>
      <c r="AE38" s="38"/>
      <c r="AF38" s="38"/>
      <c r="AG38" s="19">
        <v>25.506803512573242</v>
      </c>
      <c r="AH38" s="38">
        <v>25.811455726623535</v>
      </c>
      <c r="AI38" s="16">
        <v>26.305617332458496</v>
      </c>
    </row>
    <row r="39" spans="1:35">
      <c r="A39" s="34" t="s">
        <v>27</v>
      </c>
      <c r="B39" s="39" t="s">
        <v>30</v>
      </c>
      <c r="C39" s="34" t="s">
        <v>22</v>
      </c>
      <c r="E39" s="38">
        <v>33.427972793579102</v>
      </c>
      <c r="F39" s="38"/>
      <c r="G39" s="38"/>
      <c r="H39" s="38">
        <v>35.082561492919922</v>
      </c>
      <c r="I39" s="38"/>
      <c r="J39" s="38"/>
      <c r="K39" s="38">
        <v>39.991943359375</v>
      </c>
      <c r="L39" s="38"/>
      <c r="M39" s="38"/>
      <c r="N39" s="38">
        <v>37.252754211425781</v>
      </c>
      <c r="O39" s="38"/>
      <c r="P39" s="38"/>
      <c r="Q39" s="38">
        <v>34.01971435546875</v>
      </c>
      <c r="R39" s="38"/>
      <c r="S39" s="38"/>
      <c r="T39" s="38">
        <v>26.562544822692871</v>
      </c>
      <c r="U39" s="38"/>
      <c r="V39" s="38"/>
      <c r="W39" s="38">
        <v>27.875408172607422</v>
      </c>
      <c r="X39" s="38"/>
      <c r="Y39" s="38"/>
      <c r="Z39" s="38">
        <v>27.315655708312988</v>
      </c>
      <c r="AA39" s="38"/>
      <c r="AB39" s="38"/>
      <c r="AC39" s="38">
        <v>29.520524024963379</v>
      </c>
      <c r="AD39" s="38"/>
      <c r="AE39" s="38"/>
      <c r="AF39" s="38"/>
      <c r="AG39" s="19">
        <v>25.595159530639648</v>
      </c>
      <c r="AH39" s="38">
        <v>25.806405067443848</v>
      </c>
      <c r="AI39" s="16">
        <v>26.319409370422363</v>
      </c>
    </row>
    <row r="40" spans="1:35">
      <c r="A40" s="34" t="s">
        <v>27</v>
      </c>
      <c r="B40" s="39" t="s">
        <v>30</v>
      </c>
      <c r="C40" s="34" t="s">
        <v>22</v>
      </c>
      <c r="E40" s="38">
        <v>33.141456604003906</v>
      </c>
      <c r="F40" s="38"/>
      <c r="G40" s="38"/>
      <c r="H40" s="38">
        <v>35.330608367919922</v>
      </c>
      <c r="I40" s="38"/>
      <c r="J40" s="38"/>
      <c r="K40" s="38">
        <v>40</v>
      </c>
      <c r="L40" s="38"/>
      <c r="M40" s="38"/>
      <c r="N40" s="38">
        <v>37.671119689941406</v>
      </c>
      <c r="O40" s="38"/>
      <c r="P40" s="38"/>
      <c r="Q40" s="38">
        <v>34.033105850219727</v>
      </c>
      <c r="R40" s="38"/>
      <c r="S40" s="38"/>
      <c r="T40" s="38">
        <v>26.142482757568359</v>
      </c>
      <c r="U40" s="38"/>
      <c r="V40" s="38"/>
      <c r="W40" s="38">
        <v>27.786149024963379</v>
      </c>
      <c r="X40" s="38"/>
      <c r="Y40" s="38"/>
      <c r="Z40" s="38">
        <v>26.918182373046875</v>
      </c>
      <c r="AA40" s="38"/>
      <c r="AB40" s="38"/>
      <c r="AC40" s="38">
        <v>28.839886665344238</v>
      </c>
      <c r="AD40" s="38"/>
      <c r="AE40" s="38"/>
      <c r="AF40" s="38"/>
      <c r="AG40" s="20">
        <v>25.345427513122559</v>
      </c>
      <c r="AH40" s="38">
        <v>25.262572288513184</v>
      </c>
      <c r="AI40" s="16">
        <v>25.58079719543457</v>
      </c>
    </row>
    <row r="41" spans="1:35">
      <c r="A41" s="34" t="s">
        <v>27</v>
      </c>
      <c r="B41" s="39" t="s">
        <v>31</v>
      </c>
      <c r="C41" s="34" t="s">
        <v>22</v>
      </c>
      <c r="E41" s="38">
        <v>34.738697052001953</v>
      </c>
      <c r="F41" s="38"/>
      <c r="G41" s="38"/>
      <c r="H41" s="38">
        <v>35.90092658996582</v>
      </c>
      <c r="I41" s="38"/>
      <c r="J41" s="38"/>
      <c r="K41" s="38">
        <v>40</v>
      </c>
      <c r="L41" s="38"/>
      <c r="M41" s="38"/>
      <c r="N41" s="38">
        <v>37.854877471923828</v>
      </c>
      <c r="O41" s="38"/>
      <c r="P41" s="38"/>
      <c r="Q41" s="38">
        <v>33.845054626464844</v>
      </c>
      <c r="R41" s="38"/>
      <c r="S41" s="38"/>
      <c r="T41" s="38">
        <v>28.104642868041992</v>
      </c>
      <c r="U41" s="38"/>
      <c r="V41" s="38"/>
      <c r="W41" s="38">
        <v>27.730339050292969</v>
      </c>
      <c r="X41" s="38"/>
      <c r="Y41" s="38"/>
      <c r="Z41" s="38">
        <v>26.518332481384277</v>
      </c>
      <c r="AA41" s="38"/>
      <c r="AB41" s="38"/>
      <c r="AC41" s="38">
        <v>29.762050628662109</v>
      </c>
      <c r="AD41" s="38"/>
      <c r="AE41" s="38"/>
      <c r="AF41" s="38"/>
      <c r="AG41" s="20">
        <v>25.608665466308594</v>
      </c>
      <c r="AH41" s="38">
        <v>24.426630973815918</v>
      </c>
      <c r="AI41" s="16">
        <v>27.48058032989502</v>
      </c>
    </row>
    <row r="42" spans="1:35">
      <c r="A42" s="34" t="s">
        <v>27</v>
      </c>
      <c r="B42" s="39" t="s">
        <v>31</v>
      </c>
      <c r="C42" s="34" t="s">
        <v>22</v>
      </c>
      <c r="E42" s="38">
        <v>35.601902008056641</v>
      </c>
      <c r="F42" s="38"/>
      <c r="G42" s="38"/>
      <c r="H42" s="38">
        <v>36.054927825927734</v>
      </c>
      <c r="I42" s="38"/>
      <c r="J42" s="38"/>
      <c r="K42" s="38">
        <v>40</v>
      </c>
      <c r="L42" s="38"/>
      <c r="M42" s="38"/>
      <c r="N42" s="38">
        <v>39.677305221557617</v>
      </c>
      <c r="O42" s="38"/>
      <c r="P42" s="38"/>
      <c r="Q42" s="38">
        <v>35.23944091796875</v>
      </c>
      <c r="R42" s="38"/>
      <c r="S42" s="38"/>
      <c r="T42" s="38">
        <v>28.570903778076172</v>
      </c>
      <c r="U42" s="38"/>
      <c r="V42" s="38"/>
      <c r="W42" s="38">
        <v>27.935166358947754</v>
      </c>
      <c r="X42" s="38"/>
      <c r="Y42" s="38"/>
      <c r="Z42" s="38">
        <v>27.294625282287598</v>
      </c>
      <c r="AA42" s="38"/>
      <c r="AB42" s="38"/>
      <c r="AC42" s="38">
        <v>32.739505767822266</v>
      </c>
      <c r="AD42" s="38"/>
      <c r="AE42" s="38"/>
      <c r="AF42" s="38"/>
      <c r="AG42" s="20">
        <v>25.932476043701172</v>
      </c>
      <c r="AH42" s="38">
        <v>23.978889465332031</v>
      </c>
      <c r="AI42" s="16">
        <v>26.782748222351074</v>
      </c>
    </row>
    <row r="43" spans="1:35">
      <c r="A43" s="34" t="s">
        <v>27</v>
      </c>
      <c r="B43" s="39" t="s">
        <v>32</v>
      </c>
      <c r="C43" s="34" t="s">
        <v>22</v>
      </c>
      <c r="E43" s="38">
        <v>33.394832611083984</v>
      </c>
      <c r="F43" s="38"/>
      <c r="G43" s="38"/>
      <c r="H43" s="38">
        <v>36.462123870849609</v>
      </c>
      <c r="I43" s="38"/>
      <c r="J43" s="38"/>
      <c r="K43" s="38">
        <v>38.653678894042969</v>
      </c>
      <c r="L43" s="38"/>
      <c r="M43" s="38"/>
      <c r="N43" s="38">
        <v>38.377803802490234</v>
      </c>
      <c r="O43" s="38"/>
      <c r="P43" s="38"/>
      <c r="Q43" s="38">
        <v>33.733680725097656</v>
      </c>
      <c r="R43" s="38"/>
      <c r="S43" s="38"/>
      <c r="T43" s="38">
        <v>27.120444297790527</v>
      </c>
      <c r="U43" s="38"/>
      <c r="V43" s="38"/>
      <c r="W43" s="38">
        <v>25.56925106048584</v>
      </c>
      <c r="X43" s="38"/>
      <c r="Y43" s="38"/>
      <c r="Z43" s="38">
        <v>26.020964622497559</v>
      </c>
      <c r="AA43" s="38"/>
      <c r="AB43" s="38"/>
      <c r="AC43" s="38">
        <v>28.217110633850098</v>
      </c>
      <c r="AD43" s="38"/>
      <c r="AE43" s="38"/>
      <c r="AF43" s="38"/>
      <c r="AG43" s="20">
        <v>25.724444389343262</v>
      </c>
      <c r="AH43" s="38">
        <v>25.262591361999512</v>
      </c>
      <c r="AI43" s="16">
        <v>26.353775024414062</v>
      </c>
    </row>
    <row r="44" spans="1:35">
      <c r="A44" s="34" t="s">
        <v>27</v>
      </c>
      <c r="B44" s="39" t="s">
        <v>32</v>
      </c>
      <c r="C44" s="34" t="s">
        <v>22</v>
      </c>
      <c r="E44" s="38">
        <v>34.074394226074219</v>
      </c>
      <c r="F44" s="38"/>
      <c r="G44" s="38"/>
      <c r="H44" s="38">
        <v>37.419639587402344</v>
      </c>
      <c r="I44" s="38"/>
      <c r="J44" s="38"/>
      <c r="K44" s="38">
        <v>40</v>
      </c>
      <c r="L44" s="38"/>
      <c r="M44" s="38"/>
      <c r="N44" s="38">
        <v>38.655994415283203</v>
      </c>
      <c r="O44" s="38"/>
      <c r="P44" s="38"/>
      <c r="Q44" s="38">
        <v>33.408475875854492</v>
      </c>
      <c r="R44" s="38"/>
      <c r="S44" s="38"/>
      <c r="T44" s="38">
        <v>27.108829498291016</v>
      </c>
      <c r="U44" s="38"/>
      <c r="V44" s="38"/>
      <c r="W44" s="38">
        <v>25.754884719848633</v>
      </c>
      <c r="X44" s="38"/>
      <c r="Y44" s="38"/>
      <c r="Z44" s="38">
        <v>25.202524185180664</v>
      </c>
      <c r="AA44" s="38"/>
      <c r="AB44" s="38"/>
      <c r="AC44" s="38">
        <v>28.80544376373291</v>
      </c>
      <c r="AD44" s="38"/>
      <c r="AE44" s="38"/>
      <c r="AF44" s="38"/>
      <c r="AG44" s="20">
        <v>25.832306861877441</v>
      </c>
      <c r="AH44" s="38">
        <v>25.13870906829834</v>
      </c>
      <c r="AI44" s="16">
        <v>26.324705123901367</v>
      </c>
    </row>
    <row r="45" spans="1:35">
      <c r="A45" s="34" t="s">
        <v>27</v>
      </c>
      <c r="B45" s="39" t="s">
        <v>33</v>
      </c>
      <c r="C45" s="39" t="s">
        <v>22</v>
      </c>
      <c r="E45" s="38">
        <v>33.397859573364258</v>
      </c>
      <c r="F45" s="38"/>
      <c r="G45" s="38"/>
      <c r="H45" s="38">
        <v>35.411907196044922</v>
      </c>
      <c r="I45" s="38"/>
      <c r="J45" s="38"/>
      <c r="K45" s="38">
        <v>40</v>
      </c>
      <c r="L45" s="38"/>
      <c r="M45" s="38"/>
      <c r="N45" s="38">
        <v>36.314193725585938</v>
      </c>
      <c r="O45" s="38"/>
      <c r="P45" s="38"/>
      <c r="Q45" s="38">
        <v>34.580934524536133</v>
      </c>
      <c r="R45" s="38"/>
      <c r="S45" s="38"/>
      <c r="T45" s="38">
        <v>26.241135597229004</v>
      </c>
      <c r="U45" s="38"/>
      <c r="V45" s="38"/>
      <c r="W45" s="38">
        <v>25.706271171569824</v>
      </c>
      <c r="X45" s="38"/>
      <c r="Y45" s="38"/>
      <c r="Z45" s="38">
        <v>26.191527366638184</v>
      </c>
      <c r="AA45" s="38"/>
      <c r="AB45" s="38"/>
      <c r="AC45" s="38">
        <v>27.060273170471191</v>
      </c>
      <c r="AD45" s="38"/>
      <c r="AE45" s="38"/>
      <c r="AF45" s="38"/>
      <c r="AG45" s="19">
        <v>25.824509620666504</v>
      </c>
      <c r="AH45" s="38">
        <v>25.665995597839355</v>
      </c>
      <c r="AI45" s="16">
        <v>26.885430335998535</v>
      </c>
    </row>
    <row r="46" spans="1:35">
      <c r="A46" s="39" t="s">
        <v>27</v>
      </c>
      <c r="B46" s="39" t="s">
        <v>33</v>
      </c>
      <c r="C46" s="39" t="s">
        <v>22</v>
      </c>
      <c r="E46" s="38">
        <v>32.826231002807617</v>
      </c>
      <c r="F46" s="38"/>
      <c r="G46" s="38"/>
      <c r="H46" s="38">
        <v>35.814350128173828</v>
      </c>
      <c r="I46" s="38"/>
      <c r="J46" s="38"/>
      <c r="K46" s="38">
        <v>40</v>
      </c>
      <c r="L46" s="38"/>
      <c r="M46" s="38"/>
      <c r="N46" s="38">
        <v>37.546150207519531</v>
      </c>
      <c r="O46" s="38"/>
      <c r="P46" s="38"/>
      <c r="Q46" s="38">
        <v>34.383829116821289</v>
      </c>
      <c r="R46" s="38"/>
      <c r="S46" s="38"/>
      <c r="T46" s="38">
        <v>25.735261917114258</v>
      </c>
      <c r="U46" s="38"/>
      <c r="V46" s="38"/>
      <c r="W46" s="38">
        <v>25.734668731689453</v>
      </c>
      <c r="X46" s="38"/>
      <c r="Y46" s="38"/>
      <c r="Z46" s="38">
        <v>25.426690101623535</v>
      </c>
      <c r="AA46" s="38"/>
      <c r="AB46" s="38"/>
      <c r="AC46" s="38">
        <v>27.05721378326416</v>
      </c>
      <c r="AD46" s="38"/>
      <c r="AE46" s="38"/>
      <c r="AF46" s="38"/>
      <c r="AG46" s="19">
        <v>25.882349967956543</v>
      </c>
      <c r="AH46" s="38">
        <v>24.57568359375</v>
      </c>
      <c r="AI46" s="16">
        <v>26.86603832244873</v>
      </c>
    </row>
    <row r="47" spans="1:35">
      <c r="A47" s="31" t="s">
        <v>16</v>
      </c>
      <c r="B47" s="31">
        <v>63</v>
      </c>
      <c r="C47" s="31" t="s">
        <v>15</v>
      </c>
      <c r="E47" s="32"/>
      <c r="F47" s="32">
        <v>35.200000000000003</v>
      </c>
      <c r="G47" s="32"/>
      <c r="H47" s="32"/>
      <c r="I47" s="32">
        <v>39.4</v>
      </c>
      <c r="J47" s="32"/>
      <c r="K47" s="32"/>
      <c r="L47" s="32">
        <v>40</v>
      </c>
      <c r="M47" s="32"/>
      <c r="N47" s="32"/>
      <c r="O47" s="32">
        <v>37.9</v>
      </c>
      <c r="P47" s="32"/>
      <c r="Q47" s="32"/>
      <c r="R47" s="32">
        <v>35.369999999999997</v>
      </c>
      <c r="S47" s="32"/>
      <c r="T47" s="32"/>
      <c r="U47" s="32">
        <v>29.25</v>
      </c>
      <c r="V47" s="32"/>
      <c r="W47" s="32"/>
      <c r="X47" s="32">
        <v>25.63</v>
      </c>
      <c r="Y47" s="32"/>
      <c r="Z47" s="32"/>
      <c r="AA47" s="32">
        <v>27.66</v>
      </c>
      <c r="AB47" s="32"/>
      <c r="AC47" s="32"/>
      <c r="AD47" s="32">
        <v>29.15</v>
      </c>
      <c r="AE47" s="32"/>
      <c r="AF47" s="32"/>
      <c r="AG47" s="9">
        <v>25.26</v>
      </c>
      <c r="AH47" s="36">
        <v>25.35</v>
      </c>
      <c r="AI47" s="23">
        <v>26.192185401916504</v>
      </c>
    </row>
    <row r="48" spans="1:35">
      <c r="A48" s="11" t="s">
        <v>16</v>
      </c>
      <c r="B48" s="11">
        <v>70</v>
      </c>
      <c r="C48" s="11" t="s">
        <v>15</v>
      </c>
      <c r="E48" s="12"/>
      <c r="F48" s="12">
        <v>29.37</v>
      </c>
      <c r="G48" s="12"/>
      <c r="H48" s="12"/>
      <c r="I48" s="12">
        <v>33.090000000000003</v>
      </c>
      <c r="J48" s="12"/>
      <c r="K48" s="12"/>
      <c r="L48" s="12">
        <v>37.81</v>
      </c>
      <c r="M48" s="12"/>
      <c r="N48" s="12"/>
      <c r="O48" s="12">
        <v>30.98</v>
      </c>
      <c r="P48" s="12"/>
      <c r="Q48" s="12"/>
      <c r="R48" s="12">
        <v>32.08</v>
      </c>
      <c r="S48" s="12"/>
      <c r="T48" s="12"/>
      <c r="U48" s="12">
        <v>28.01</v>
      </c>
      <c r="V48" s="12"/>
      <c r="W48" s="12"/>
      <c r="X48" s="12">
        <v>23.88</v>
      </c>
      <c r="Y48" s="12"/>
      <c r="Z48" s="12"/>
      <c r="AA48" s="12">
        <v>23.95</v>
      </c>
      <c r="AB48" s="12"/>
      <c r="AC48" s="12"/>
      <c r="AD48" s="12">
        <v>25.08</v>
      </c>
      <c r="AE48" s="12"/>
      <c r="AF48" s="12"/>
      <c r="AG48" s="9">
        <v>24.62</v>
      </c>
      <c r="AH48" s="36">
        <v>26.57</v>
      </c>
      <c r="AI48" s="16">
        <v>26.031800270080566</v>
      </c>
    </row>
    <row r="49" spans="1:35">
      <c r="A49" s="11" t="s">
        <v>16</v>
      </c>
      <c r="B49" s="11">
        <v>75</v>
      </c>
      <c r="C49" s="11" t="s">
        <v>15</v>
      </c>
      <c r="E49" s="12"/>
      <c r="F49" s="12">
        <v>30.59</v>
      </c>
      <c r="G49" s="12"/>
      <c r="H49" s="12"/>
      <c r="I49" s="12">
        <v>33.119999999999997</v>
      </c>
      <c r="J49" s="12"/>
      <c r="K49" s="12"/>
      <c r="L49" s="12">
        <v>35.32</v>
      </c>
      <c r="M49" s="12"/>
      <c r="N49" s="12"/>
      <c r="O49" s="12">
        <v>30.54</v>
      </c>
      <c r="P49" s="12"/>
      <c r="Q49" s="12"/>
      <c r="R49" s="12">
        <v>28.42</v>
      </c>
      <c r="S49" s="12"/>
      <c r="T49" s="12"/>
      <c r="U49" s="12">
        <v>28.04</v>
      </c>
      <c r="V49" s="12"/>
      <c r="W49" s="12"/>
      <c r="X49" s="12">
        <v>24.33</v>
      </c>
      <c r="Y49" s="12"/>
      <c r="Z49" s="12"/>
      <c r="AA49" s="12">
        <v>25.66</v>
      </c>
      <c r="AB49" s="12"/>
      <c r="AC49" s="12"/>
      <c r="AD49" s="12">
        <v>26.76</v>
      </c>
      <c r="AE49" s="12"/>
      <c r="AF49" s="12"/>
      <c r="AG49" s="9">
        <v>24.8</v>
      </c>
      <c r="AH49" s="36">
        <v>25.45</v>
      </c>
      <c r="AI49" s="16">
        <v>26.297915458679199</v>
      </c>
    </row>
    <row r="50" spans="1:35">
      <c r="A50" s="11" t="s">
        <v>16</v>
      </c>
      <c r="B50" s="11">
        <v>75</v>
      </c>
      <c r="C50" s="11" t="s">
        <v>15</v>
      </c>
      <c r="E50" s="12"/>
      <c r="F50" s="12">
        <v>26.44</v>
      </c>
      <c r="G50" s="12"/>
      <c r="H50" s="12"/>
      <c r="I50" s="12">
        <v>28.74</v>
      </c>
      <c r="J50" s="12"/>
      <c r="K50" s="12"/>
      <c r="L50" s="12">
        <v>32.93</v>
      </c>
      <c r="M50" s="12"/>
      <c r="N50" s="12"/>
      <c r="O50" s="12">
        <v>26.03</v>
      </c>
      <c r="P50" s="12"/>
      <c r="Q50" s="12"/>
      <c r="R50" s="12">
        <v>28.33</v>
      </c>
      <c r="S50" s="12"/>
      <c r="T50" s="12"/>
      <c r="U50" s="12">
        <v>28.23</v>
      </c>
      <c r="V50" s="12"/>
      <c r="W50" s="12"/>
      <c r="X50" s="12">
        <v>25.06</v>
      </c>
      <c r="Y50" s="12"/>
      <c r="Z50" s="12"/>
      <c r="AA50" s="12">
        <v>22.91</v>
      </c>
      <c r="AB50" s="12"/>
      <c r="AC50" s="12"/>
      <c r="AD50" s="12">
        <v>23.36</v>
      </c>
      <c r="AE50" s="12"/>
      <c r="AF50" s="12"/>
      <c r="AG50" s="9">
        <v>24.71</v>
      </c>
      <c r="AH50" s="36">
        <v>26.97</v>
      </c>
      <c r="AI50" s="16">
        <v>26.804024696350098</v>
      </c>
    </row>
    <row r="51" spans="1:35">
      <c r="A51" s="11" t="s">
        <v>16</v>
      </c>
      <c r="B51" s="11">
        <v>77</v>
      </c>
      <c r="C51" s="11" t="s">
        <v>15</v>
      </c>
      <c r="E51" s="12"/>
      <c r="F51" s="12">
        <v>28.49</v>
      </c>
      <c r="G51" s="12"/>
      <c r="H51" s="12"/>
      <c r="I51" s="12">
        <v>30.66</v>
      </c>
      <c r="J51" s="12"/>
      <c r="K51" s="12"/>
      <c r="L51" s="12">
        <v>33.67</v>
      </c>
      <c r="M51" s="12"/>
      <c r="N51" s="12"/>
      <c r="O51" s="12">
        <v>28.29</v>
      </c>
      <c r="P51" s="12"/>
      <c r="Q51" s="12"/>
      <c r="R51" s="12">
        <v>27.43</v>
      </c>
      <c r="S51" s="12"/>
      <c r="T51" s="12"/>
      <c r="U51" s="12">
        <v>29.49</v>
      </c>
      <c r="V51" s="12"/>
      <c r="W51" s="12"/>
      <c r="X51" s="12">
        <v>23.08</v>
      </c>
      <c r="Y51" s="12"/>
      <c r="Z51" s="12"/>
      <c r="AA51" s="12">
        <v>25.97</v>
      </c>
      <c r="AB51" s="12"/>
      <c r="AC51" s="12"/>
      <c r="AD51" s="12">
        <v>26.83</v>
      </c>
      <c r="AE51" s="12"/>
      <c r="AF51" s="12"/>
      <c r="AG51" s="9">
        <v>24.95</v>
      </c>
      <c r="AH51" s="36">
        <v>26.52</v>
      </c>
      <c r="AI51" s="16">
        <v>26.950830459594727</v>
      </c>
    </row>
    <row r="52" spans="1:35">
      <c r="A52" s="11" t="s">
        <v>16</v>
      </c>
      <c r="B52" s="11">
        <v>73</v>
      </c>
      <c r="C52" s="11" t="s">
        <v>15</v>
      </c>
      <c r="E52" s="12"/>
      <c r="F52" s="12">
        <v>29.37</v>
      </c>
      <c r="G52" s="12"/>
      <c r="H52" s="12"/>
      <c r="I52" s="12">
        <v>32.35</v>
      </c>
      <c r="J52" s="12"/>
      <c r="K52" s="12"/>
      <c r="L52" s="12">
        <v>36.950000000000003</v>
      </c>
      <c r="M52" s="12"/>
      <c r="N52" s="12"/>
      <c r="O52" s="12">
        <v>29.27</v>
      </c>
      <c r="P52" s="12"/>
      <c r="Q52" s="12"/>
      <c r="R52" s="12">
        <v>30.77</v>
      </c>
      <c r="S52" s="12"/>
      <c r="T52" s="12"/>
      <c r="U52" s="12">
        <v>27.58</v>
      </c>
      <c r="V52" s="12"/>
      <c r="W52" s="12"/>
      <c r="X52" s="12">
        <v>24.84</v>
      </c>
      <c r="Y52" s="12"/>
      <c r="Z52" s="12"/>
      <c r="AA52" s="12">
        <v>24.96</v>
      </c>
      <c r="AB52" s="12"/>
      <c r="AC52" s="12"/>
      <c r="AD52" s="12">
        <v>25.53</v>
      </c>
      <c r="AE52" s="12"/>
      <c r="AF52" s="12"/>
      <c r="AG52" s="9">
        <v>26.02</v>
      </c>
      <c r="AH52" s="38">
        <v>25.443032264709473</v>
      </c>
      <c r="AI52" s="16">
        <v>24.917843818664551</v>
      </c>
    </row>
    <row r="53" spans="1:35">
      <c r="A53" s="11" t="s">
        <v>16</v>
      </c>
      <c r="B53" s="11">
        <v>73</v>
      </c>
      <c r="C53" s="11" t="s">
        <v>15</v>
      </c>
      <c r="E53" s="12"/>
      <c r="F53" s="12">
        <v>31.78</v>
      </c>
      <c r="G53" s="12"/>
      <c r="H53" s="12"/>
      <c r="I53" s="12">
        <v>34.28</v>
      </c>
      <c r="J53" s="12"/>
      <c r="K53" s="12"/>
      <c r="L53" s="12">
        <v>33.049999999999997</v>
      </c>
      <c r="M53" s="12"/>
      <c r="N53" s="12"/>
      <c r="O53" s="12">
        <v>31.69</v>
      </c>
      <c r="P53" s="12"/>
      <c r="Q53" s="12"/>
      <c r="R53" s="12">
        <v>30.7</v>
      </c>
      <c r="S53" s="12"/>
      <c r="T53" s="12"/>
      <c r="U53" s="12">
        <v>25.99</v>
      </c>
      <c r="V53" s="12"/>
      <c r="W53" s="12"/>
      <c r="X53" s="12">
        <v>24.7</v>
      </c>
      <c r="Y53" s="12"/>
      <c r="Z53" s="12"/>
      <c r="AA53" s="12">
        <v>26.96</v>
      </c>
      <c r="AB53" s="12"/>
      <c r="AC53" s="12"/>
      <c r="AD53" s="12">
        <v>27.5</v>
      </c>
      <c r="AE53" s="12"/>
      <c r="AF53" s="12"/>
      <c r="AG53" s="32">
        <v>25.21</v>
      </c>
      <c r="AH53" s="38">
        <v>25.903278350830078</v>
      </c>
      <c r="AI53" s="16">
        <v>26.947179794311523</v>
      </c>
    </row>
    <row r="54" spans="1:35">
      <c r="A54" s="11" t="s">
        <v>16</v>
      </c>
      <c r="B54" s="11">
        <v>76</v>
      </c>
      <c r="C54" s="11" t="s">
        <v>15</v>
      </c>
      <c r="E54" s="12"/>
      <c r="F54" s="12">
        <v>29.03</v>
      </c>
      <c r="G54" s="12"/>
      <c r="H54" s="12"/>
      <c r="I54" s="12">
        <v>31.87</v>
      </c>
      <c r="J54" s="12"/>
      <c r="K54" s="12"/>
      <c r="L54" s="12">
        <v>35.35</v>
      </c>
      <c r="M54" s="12"/>
      <c r="N54" s="12"/>
      <c r="O54" s="12">
        <v>28.99</v>
      </c>
      <c r="P54" s="12"/>
      <c r="Q54" s="12"/>
      <c r="R54" s="12">
        <v>29.15</v>
      </c>
      <c r="S54" s="12"/>
      <c r="T54" s="12"/>
      <c r="U54" s="12">
        <v>26.75</v>
      </c>
      <c r="V54" s="12"/>
      <c r="W54" s="12"/>
      <c r="X54" s="12">
        <v>23.83</v>
      </c>
      <c r="Y54" s="12"/>
      <c r="Z54" s="12"/>
      <c r="AA54" s="12">
        <v>24.86</v>
      </c>
      <c r="AB54" s="12"/>
      <c r="AC54" s="12"/>
      <c r="AD54" s="12">
        <v>25.65</v>
      </c>
      <c r="AE54" s="12"/>
      <c r="AF54" s="12"/>
      <c r="AG54" s="9">
        <v>26.43</v>
      </c>
      <c r="AH54" s="38">
        <v>25.070278167724609</v>
      </c>
      <c r="AI54" s="16">
        <v>26.016288757324219</v>
      </c>
    </row>
    <row r="55" spans="1:35">
      <c r="A55" s="11" t="s">
        <v>16</v>
      </c>
      <c r="B55" s="11">
        <v>78</v>
      </c>
      <c r="C55" s="11" t="s">
        <v>15</v>
      </c>
      <c r="E55" s="12"/>
      <c r="F55" s="12">
        <v>32.35</v>
      </c>
      <c r="G55" s="12"/>
      <c r="H55" s="12"/>
      <c r="I55" s="12">
        <v>36.18</v>
      </c>
      <c r="J55" s="12"/>
      <c r="K55" s="12"/>
      <c r="L55" s="12">
        <v>39.75</v>
      </c>
      <c r="M55" s="12"/>
      <c r="N55" s="12"/>
      <c r="O55" s="12">
        <v>32.61</v>
      </c>
      <c r="P55" s="12"/>
      <c r="Q55" s="12"/>
      <c r="R55" s="12">
        <v>34.14</v>
      </c>
      <c r="S55" s="12"/>
      <c r="T55" s="12"/>
      <c r="U55" s="12">
        <v>26.89</v>
      </c>
      <c r="V55" s="12"/>
      <c r="W55" s="12"/>
      <c r="X55" s="12">
        <v>25.25</v>
      </c>
      <c r="Y55" s="12"/>
      <c r="Z55" s="12"/>
      <c r="AA55" s="12">
        <v>26.13</v>
      </c>
      <c r="AB55" s="12"/>
      <c r="AC55" s="12"/>
      <c r="AD55" s="12">
        <v>26.83</v>
      </c>
      <c r="AE55" s="12"/>
      <c r="AF55" s="12"/>
      <c r="AG55" s="9">
        <v>25.7</v>
      </c>
      <c r="AH55" s="38">
        <v>25.688551902770996</v>
      </c>
      <c r="AI55" s="16">
        <v>27.3397216796875</v>
      </c>
    </row>
    <row r="56" spans="1:35">
      <c r="A56" s="11" t="s">
        <v>16</v>
      </c>
      <c r="B56" s="11">
        <v>78</v>
      </c>
      <c r="C56" s="11" t="s">
        <v>15</v>
      </c>
      <c r="E56" s="12"/>
      <c r="F56" s="12">
        <v>28.87</v>
      </c>
      <c r="G56" s="12"/>
      <c r="H56" s="12"/>
      <c r="I56" s="12">
        <v>32.119999999999997</v>
      </c>
      <c r="J56" s="12"/>
      <c r="K56" s="12"/>
      <c r="L56" s="12">
        <v>36.08</v>
      </c>
      <c r="M56" s="12"/>
      <c r="N56" s="12"/>
      <c r="O56" s="12">
        <v>28.86</v>
      </c>
      <c r="P56" s="12"/>
      <c r="Q56" s="12"/>
      <c r="R56" s="12">
        <v>31.78</v>
      </c>
      <c r="S56" s="12"/>
      <c r="T56" s="12"/>
      <c r="U56" s="12">
        <v>26.38</v>
      </c>
      <c r="V56" s="12"/>
      <c r="W56" s="12"/>
      <c r="X56" s="12">
        <v>24.46</v>
      </c>
      <c r="Y56" s="12"/>
      <c r="Z56" s="12"/>
      <c r="AA56" s="12">
        <v>23.9</v>
      </c>
      <c r="AB56" s="12"/>
      <c r="AC56" s="12"/>
      <c r="AD56" s="12">
        <v>24.33</v>
      </c>
      <c r="AE56" s="12"/>
      <c r="AF56" s="12"/>
      <c r="AG56" s="9">
        <v>25.89</v>
      </c>
      <c r="AH56" s="38">
        <v>25.585291862487793</v>
      </c>
      <c r="AI56" s="16">
        <v>25.679874420166016</v>
      </c>
    </row>
    <row r="57" spans="1:35">
      <c r="A57" s="15" t="s">
        <v>21</v>
      </c>
      <c r="B57" s="15">
        <v>72</v>
      </c>
      <c r="C57" s="15" t="s">
        <v>22</v>
      </c>
      <c r="E57" s="16"/>
      <c r="F57" s="16">
        <v>32.520465850830078</v>
      </c>
      <c r="G57" s="16"/>
      <c r="H57" s="16"/>
      <c r="I57" s="16">
        <v>35.079870223999023</v>
      </c>
      <c r="J57" s="16"/>
      <c r="K57" s="16"/>
      <c r="L57" s="16">
        <v>40</v>
      </c>
      <c r="M57" s="16"/>
      <c r="N57" s="16"/>
      <c r="O57" s="16">
        <v>35.594573974609375</v>
      </c>
      <c r="P57" s="16"/>
      <c r="Q57" s="16"/>
      <c r="R57" s="16">
        <v>31.781035423278809</v>
      </c>
      <c r="S57" s="16"/>
      <c r="T57" s="16"/>
      <c r="U57" s="16">
        <v>24.919331550598145</v>
      </c>
      <c r="V57" s="16"/>
      <c r="W57" s="16"/>
      <c r="X57" s="16">
        <v>25.870065689086914</v>
      </c>
      <c r="Y57" s="16"/>
      <c r="Z57" s="16"/>
      <c r="AA57" s="16">
        <v>26.241756439208984</v>
      </c>
      <c r="AB57" s="16"/>
      <c r="AC57" s="16"/>
      <c r="AD57" s="16">
        <v>25.870065689086914</v>
      </c>
      <c r="AE57" s="16"/>
      <c r="AF57" s="16"/>
      <c r="AG57" s="19">
        <v>24.374676704406738</v>
      </c>
      <c r="AH57" s="38">
        <v>25.566082954406738</v>
      </c>
      <c r="AI57" s="16">
        <v>27.459938049316406</v>
      </c>
    </row>
    <row r="58" spans="1:35">
      <c r="A58" s="15" t="s">
        <v>21</v>
      </c>
      <c r="B58" s="15">
        <v>74</v>
      </c>
      <c r="C58" s="15" t="s">
        <v>22</v>
      </c>
      <c r="E58" s="16"/>
      <c r="F58" s="16">
        <v>33.604812622070312</v>
      </c>
      <c r="G58" s="16"/>
      <c r="H58" s="16"/>
      <c r="I58" s="16">
        <v>35.912914276123047</v>
      </c>
      <c r="J58" s="16"/>
      <c r="K58" s="16"/>
      <c r="L58" s="16">
        <v>40</v>
      </c>
      <c r="M58" s="16"/>
      <c r="N58" s="16"/>
      <c r="O58" s="16">
        <v>36.687490463256836</v>
      </c>
      <c r="P58" s="16"/>
      <c r="Q58" s="16"/>
      <c r="R58" s="16">
        <v>33.330598831176758</v>
      </c>
      <c r="S58" s="16"/>
      <c r="T58" s="16"/>
      <c r="U58" s="16">
        <v>26.294977188110352</v>
      </c>
      <c r="V58" s="16"/>
      <c r="W58" s="16"/>
      <c r="X58" s="16">
        <v>26.604811668395996</v>
      </c>
      <c r="Y58" s="16"/>
      <c r="Z58" s="16"/>
      <c r="AA58" s="16">
        <v>27.397255897521973</v>
      </c>
      <c r="AB58" s="16"/>
      <c r="AC58" s="16"/>
      <c r="AD58" s="16">
        <v>26.604811668395996</v>
      </c>
      <c r="AE58" s="16"/>
      <c r="AF58" s="16"/>
      <c r="AG58" s="19">
        <v>24.97696590423584</v>
      </c>
      <c r="AH58" s="38">
        <v>24.46163272857666</v>
      </c>
      <c r="AI58" s="16">
        <v>27.153841018676758</v>
      </c>
    </row>
    <row r="59" spans="1:35">
      <c r="A59" s="15" t="s">
        <v>21</v>
      </c>
      <c r="B59" s="15">
        <v>77</v>
      </c>
      <c r="C59" s="15" t="s">
        <v>22</v>
      </c>
      <c r="E59" s="16"/>
      <c r="F59" s="16">
        <v>32.178127288818359</v>
      </c>
      <c r="G59" s="16"/>
      <c r="H59" s="16"/>
      <c r="I59" s="16">
        <v>34.025482177734375</v>
      </c>
      <c r="J59" s="16"/>
      <c r="K59" s="16"/>
      <c r="L59" s="16">
        <v>39.263565063476562</v>
      </c>
      <c r="M59" s="16"/>
      <c r="N59" s="16"/>
      <c r="O59" s="16">
        <v>34.301013946533203</v>
      </c>
      <c r="P59" s="16"/>
      <c r="Q59" s="16"/>
      <c r="R59" s="16">
        <v>32.005117416381836</v>
      </c>
      <c r="S59" s="16"/>
      <c r="T59" s="16"/>
      <c r="U59" s="16">
        <v>25.401415824890137</v>
      </c>
      <c r="V59" s="16"/>
      <c r="W59" s="16"/>
      <c r="X59" s="16">
        <v>25.229777336120605</v>
      </c>
      <c r="Y59" s="16"/>
      <c r="Z59" s="16"/>
      <c r="AA59" s="16">
        <v>26.388439178466797</v>
      </c>
      <c r="AB59" s="16"/>
      <c r="AC59" s="16"/>
      <c r="AD59" s="16">
        <v>25.229777336120605</v>
      </c>
      <c r="AE59" s="16"/>
      <c r="AF59" s="16"/>
      <c r="AG59" s="40">
        <v>23.145215034484863</v>
      </c>
      <c r="AH59" s="38">
        <v>25.968973159790039</v>
      </c>
      <c r="AI59" s="16">
        <v>26.208621978759766</v>
      </c>
    </row>
    <row r="60" spans="1:35">
      <c r="A60" s="42" t="s">
        <v>21</v>
      </c>
      <c r="B60" s="42">
        <v>77</v>
      </c>
      <c r="C60" s="42" t="s">
        <v>22</v>
      </c>
      <c r="E60" s="43"/>
      <c r="F60" s="43">
        <v>30.729473114013672</v>
      </c>
      <c r="G60" s="43"/>
      <c r="H60" s="43"/>
      <c r="I60" s="43">
        <v>35.98175048828125</v>
      </c>
      <c r="J60" s="43"/>
      <c r="K60" s="43"/>
      <c r="L60" s="43">
        <v>40</v>
      </c>
      <c r="M60" s="43"/>
      <c r="N60" s="43"/>
      <c r="O60" s="43">
        <v>33.484333038330078</v>
      </c>
      <c r="P60" s="43"/>
      <c r="Q60" s="43"/>
      <c r="R60" s="43">
        <v>36.806303024291992</v>
      </c>
      <c r="S60" s="43"/>
      <c r="T60" s="43"/>
      <c r="U60" s="43">
        <v>31.827373504638672</v>
      </c>
      <c r="V60" s="43"/>
      <c r="W60" s="43"/>
      <c r="X60" s="43">
        <v>27.933792114257812</v>
      </c>
      <c r="Y60" s="43"/>
      <c r="Z60" s="43"/>
      <c r="AA60" s="43">
        <v>25.753476142883301</v>
      </c>
      <c r="AB60" s="43"/>
      <c r="AC60" s="43"/>
      <c r="AD60" s="43">
        <v>27.933792114257812</v>
      </c>
      <c r="AE60" s="43"/>
      <c r="AF60" s="43"/>
      <c r="AG60" s="19">
        <v>24.769036293029785</v>
      </c>
      <c r="AH60" s="38">
        <v>25.022581100463867</v>
      </c>
      <c r="AI60" s="16">
        <v>26.613012313842773</v>
      </c>
    </row>
    <row r="61" spans="1:35">
      <c r="A61" s="15" t="s">
        <v>21</v>
      </c>
      <c r="B61" s="15">
        <v>79</v>
      </c>
      <c r="C61" s="15" t="s">
        <v>22</v>
      </c>
      <c r="E61" s="16"/>
      <c r="F61" s="16">
        <v>31.92948055267334</v>
      </c>
      <c r="G61" s="16"/>
      <c r="H61" s="16"/>
      <c r="I61" s="16">
        <v>36.26801872253418</v>
      </c>
      <c r="J61" s="16"/>
      <c r="K61" s="16"/>
      <c r="L61" s="16">
        <v>39.869161605834961</v>
      </c>
      <c r="M61" s="16"/>
      <c r="N61" s="16"/>
      <c r="O61" s="16">
        <v>34.821403503417969</v>
      </c>
      <c r="P61" s="16"/>
      <c r="Q61" s="16"/>
      <c r="R61" s="16">
        <v>33.916423797607422</v>
      </c>
      <c r="S61" s="16"/>
      <c r="T61" s="16"/>
      <c r="U61" s="16">
        <v>25.947898864746094</v>
      </c>
      <c r="V61" s="16"/>
      <c r="W61" s="16"/>
      <c r="X61" s="16">
        <v>27.078451156616211</v>
      </c>
      <c r="Y61" s="16"/>
      <c r="Z61" s="16"/>
      <c r="AA61" s="16">
        <v>26.36106014251709</v>
      </c>
      <c r="AB61" s="16"/>
      <c r="AC61" s="16"/>
      <c r="AD61" s="16">
        <v>27.078451156616211</v>
      </c>
      <c r="AE61" s="16"/>
      <c r="AF61" s="16"/>
      <c r="AG61" s="19">
        <v>24.940939903259277</v>
      </c>
      <c r="AH61" s="38">
        <v>24.741936683654785</v>
      </c>
      <c r="AI61" s="16">
        <v>28.288240432739258</v>
      </c>
    </row>
    <row r="62" spans="1:35">
      <c r="A62" s="15" t="s">
        <v>21</v>
      </c>
      <c r="B62" s="15">
        <v>79</v>
      </c>
      <c r="C62" s="15" t="s">
        <v>22</v>
      </c>
      <c r="E62" s="16"/>
      <c r="F62" s="16">
        <v>30.960238456726074</v>
      </c>
      <c r="G62" s="16"/>
      <c r="H62" s="16"/>
      <c r="I62" s="16">
        <v>33.803977966308594</v>
      </c>
      <c r="J62" s="16"/>
      <c r="K62" s="16"/>
      <c r="L62" s="16">
        <v>37.717214584350586</v>
      </c>
      <c r="M62" s="16"/>
      <c r="N62" s="16"/>
      <c r="O62" s="16">
        <v>33.649757385253906</v>
      </c>
      <c r="P62" s="16"/>
      <c r="Q62" s="16"/>
      <c r="R62" s="16">
        <v>32.456039428710938</v>
      </c>
      <c r="S62" s="16"/>
      <c r="T62" s="16"/>
      <c r="U62" s="16">
        <v>26.92625617980957</v>
      </c>
      <c r="V62" s="16"/>
      <c r="W62" s="16"/>
      <c r="X62" s="16">
        <v>25.881397247314453</v>
      </c>
      <c r="Y62" s="16"/>
      <c r="Z62" s="16"/>
      <c r="AA62" s="16">
        <v>26.731234550476074</v>
      </c>
      <c r="AB62" s="16"/>
      <c r="AC62" s="16"/>
      <c r="AD62" s="16">
        <v>27.409048080444336</v>
      </c>
      <c r="AE62" s="16"/>
      <c r="AF62" s="16"/>
      <c r="AG62" s="20">
        <v>24.719074249267578</v>
      </c>
      <c r="AH62" s="38">
        <v>24.270434379577637</v>
      </c>
      <c r="AI62" s="16">
        <v>26.991104125976562</v>
      </c>
    </row>
    <row r="63" spans="1:35">
      <c r="A63" s="15" t="s">
        <v>21</v>
      </c>
      <c r="B63" s="15">
        <v>79</v>
      </c>
      <c r="C63" s="15" t="s">
        <v>22</v>
      </c>
      <c r="E63" s="16"/>
      <c r="F63" s="16">
        <v>29.540103912353516</v>
      </c>
      <c r="G63" s="16"/>
      <c r="H63" s="16"/>
      <c r="I63" s="16">
        <v>31.667819023132324</v>
      </c>
      <c r="J63" s="16"/>
      <c r="K63" s="16"/>
      <c r="L63" s="16">
        <v>35.129922866821289</v>
      </c>
      <c r="M63" s="16"/>
      <c r="N63" s="16"/>
      <c r="O63" s="16">
        <v>32.066211700439453</v>
      </c>
      <c r="P63" s="16"/>
      <c r="Q63" s="16"/>
      <c r="R63" s="16">
        <v>29.612837791442871</v>
      </c>
      <c r="S63" s="16"/>
      <c r="T63" s="16"/>
      <c r="U63" s="16">
        <v>23.483121871948242</v>
      </c>
      <c r="V63" s="16"/>
      <c r="W63" s="16"/>
      <c r="X63" s="16">
        <v>23.710227012634277</v>
      </c>
      <c r="Y63" s="16"/>
      <c r="Z63" s="16"/>
      <c r="AA63" s="16">
        <v>24.544410705566406</v>
      </c>
      <c r="AB63" s="16"/>
      <c r="AC63" s="16"/>
      <c r="AD63" s="16">
        <v>26.250125885009766</v>
      </c>
      <c r="AE63" s="16"/>
      <c r="AF63" s="16"/>
      <c r="AG63" s="20">
        <v>25.068411827087402</v>
      </c>
      <c r="AH63" s="38">
        <v>24.096487045288086</v>
      </c>
      <c r="AI63" s="16">
        <v>26.406711578369141</v>
      </c>
    </row>
    <row r="64" spans="1:35">
      <c r="A64" s="15" t="s">
        <v>21</v>
      </c>
      <c r="B64" s="15">
        <v>80</v>
      </c>
      <c r="C64" s="15" t="s">
        <v>22</v>
      </c>
      <c r="E64" s="16"/>
      <c r="F64" s="16">
        <v>30.761466979980469</v>
      </c>
      <c r="G64" s="16"/>
      <c r="H64" s="16"/>
      <c r="I64" s="16">
        <v>34.060911178588867</v>
      </c>
      <c r="J64" s="16"/>
      <c r="K64" s="16"/>
      <c r="L64" s="16">
        <v>39.07769775390625</v>
      </c>
      <c r="M64" s="16"/>
      <c r="N64" s="16"/>
      <c r="O64" s="16">
        <v>33.201923370361328</v>
      </c>
      <c r="P64" s="16"/>
      <c r="Q64" s="16"/>
      <c r="R64" s="16">
        <v>32.114469528198242</v>
      </c>
      <c r="S64" s="16"/>
      <c r="T64" s="16"/>
      <c r="U64" s="16">
        <v>26.283920288085938</v>
      </c>
      <c r="V64" s="16"/>
      <c r="W64" s="16"/>
      <c r="X64" s="16">
        <v>25.993157386779785</v>
      </c>
      <c r="Y64" s="16"/>
      <c r="Z64" s="16"/>
      <c r="AA64" s="16">
        <v>25.778803825378418</v>
      </c>
      <c r="AB64" s="16"/>
      <c r="AC64" s="16"/>
      <c r="AD64" s="16">
        <v>26.304183959960938</v>
      </c>
      <c r="AE64" s="16"/>
      <c r="AF64" s="16"/>
      <c r="AG64" s="20">
        <v>25.277359008789062</v>
      </c>
      <c r="AH64" s="38">
        <v>23.90019416809082</v>
      </c>
      <c r="AI64" s="16">
        <v>27.718328475952148</v>
      </c>
    </row>
    <row r="65" spans="1:35">
      <c r="A65" s="15" t="s">
        <v>21</v>
      </c>
      <c r="B65" s="15">
        <v>81</v>
      </c>
      <c r="C65" s="15" t="s">
        <v>22</v>
      </c>
      <c r="E65" s="16"/>
      <c r="F65" s="16">
        <v>30.928840637207031</v>
      </c>
      <c r="G65" s="16"/>
      <c r="H65" s="16"/>
      <c r="I65" s="16">
        <v>33.572546005249023</v>
      </c>
      <c r="J65" s="16"/>
      <c r="K65" s="16"/>
      <c r="L65" s="16">
        <v>38.146656036376953</v>
      </c>
      <c r="M65" s="16"/>
      <c r="N65" s="16"/>
      <c r="O65" s="16">
        <v>33.787958145141602</v>
      </c>
      <c r="P65" s="16"/>
      <c r="Q65" s="16"/>
      <c r="R65" s="16">
        <v>32.222360610961914</v>
      </c>
      <c r="S65" s="16"/>
      <c r="T65" s="16"/>
      <c r="U65" s="16">
        <v>25.82192325592041</v>
      </c>
      <c r="V65" s="16"/>
      <c r="W65" s="16"/>
      <c r="X65" s="16">
        <v>25.257304191589355</v>
      </c>
      <c r="Y65" s="16"/>
      <c r="Z65" s="16"/>
      <c r="AA65" s="16">
        <v>26.175350189208984</v>
      </c>
      <c r="AB65" s="16"/>
      <c r="AC65" s="16"/>
      <c r="AD65" s="16">
        <v>26.626113891601562</v>
      </c>
      <c r="AE65" s="16"/>
      <c r="AF65" s="16"/>
      <c r="AG65" s="20">
        <v>25.05180549621582</v>
      </c>
      <c r="AH65" s="38">
        <v>24.771608352661133</v>
      </c>
      <c r="AI65" s="16">
        <v>26.826436042785645</v>
      </c>
    </row>
    <row r="66" spans="1:35">
      <c r="A66" s="15" t="s">
        <v>21</v>
      </c>
      <c r="B66" s="15">
        <v>81</v>
      </c>
      <c r="C66" s="15" t="s">
        <v>22</v>
      </c>
      <c r="E66" s="16"/>
      <c r="F66" s="16">
        <v>34.218307495117188</v>
      </c>
      <c r="G66" s="16"/>
      <c r="H66" s="16"/>
      <c r="I66" s="16">
        <v>36.834365844726562</v>
      </c>
      <c r="J66" s="16"/>
      <c r="K66" s="16"/>
      <c r="L66" s="16">
        <v>40</v>
      </c>
      <c r="M66" s="16"/>
      <c r="N66" s="16"/>
      <c r="O66" s="16">
        <v>38.296194076538086</v>
      </c>
      <c r="P66" s="16"/>
      <c r="Q66" s="16"/>
      <c r="R66" s="16">
        <v>32.740236282348633</v>
      </c>
      <c r="S66" s="16"/>
      <c r="T66" s="16"/>
      <c r="U66" s="16">
        <v>27.517514228820801</v>
      </c>
      <c r="V66" s="16"/>
      <c r="W66" s="16"/>
      <c r="X66" s="16">
        <v>26.459999084472656</v>
      </c>
      <c r="Y66" s="16"/>
      <c r="Z66" s="16"/>
      <c r="AA66" s="16">
        <v>27.905719757080078</v>
      </c>
      <c r="AB66" s="16"/>
      <c r="AC66" s="16"/>
      <c r="AD66" s="16">
        <v>29.630588531494141</v>
      </c>
      <c r="AE66" s="16"/>
      <c r="AF66" s="16"/>
      <c r="AG66" s="20">
        <v>25.083930969238281</v>
      </c>
      <c r="AH66" s="38">
        <v>24.802726745605469</v>
      </c>
      <c r="AI66" s="16">
        <v>26.247549057006836</v>
      </c>
    </row>
    <row r="67" spans="1:35">
      <c r="A67" s="15" t="s">
        <v>21</v>
      </c>
      <c r="B67" s="15">
        <v>83</v>
      </c>
      <c r="C67" s="15" t="s">
        <v>22</v>
      </c>
      <c r="E67" s="105"/>
      <c r="F67" s="105">
        <v>31.651066780090332</v>
      </c>
      <c r="G67" s="105"/>
      <c r="H67" s="105"/>
      <c r="I67" s="105">
        <v>33.128765106201172</v>
      </c>
      <c r="J67" s="105"/>
      <c r="K67" s="105"/>
      <c r="L67" s="105">
        <v>35.975183486938477</v>
      </c>
      <c r="M67" s="105"/>
      <c r="N67" s="105"/>
      <c r="O67" s="105">
        <v>33.893095016479492</v>
      </c>
      <c r="P67" s="105"/>
      <c r="Q67" s="105"/>
      <c r="R67" s="105">
        <v>30.642679214477539</v>
      </c>
      <c r="S67" s="105"/>
      <c r="T67" s="105"/>
      <c r="U67" s="105">
        <v>24.589456558227539</v>
      </c>
      <c r="V67" s="105"/>
      <c r="W67" s="105"/>
      <c r="X67" s="105">
        <v>24.396639823913574</v>
      </c>
      <c r="Y67" s="105"/>
      <c r="Z67" s="105"/>
      <c r="AA67" s="105">
        <v>26.44419002532959</v>
      </c>
      <c r="AB67" s="105"/>
      <c r="AC67" s="105"/>
      <c r="AD67" s="24">
        <v>27.083975791931152</v>
      </c>
      <c r="AE67" s="108"/>
      <c r="AF67" s="108"/>
      <c r="AG67" s="19">
        <v>24.855618476867676</v>
      </c>
      <c r="AH67" s="38">
        <v>24.875649452209473</v>
      </c>
      <c r="AI67" s="16">
        <v>25.013241767883301</v>
      </c>
    </row>
    <row r="68" spans="1:35">
      <c r="A68" s="15" t="s">
        <v>21</v>
      </c>
      <c r="B68" s="15">
        <v>83</v>
      </c>
      <c r="C68" s="15" t="s">
        <v>22</v>
      </c>
      <c r="E68" s="105"/>
      <c r="F68" s="105">
        <v>34.239406585693359</v>
      </c>
      <c r="G68" s="105"/>
      <c r="H68" s="105"/>
      <c r="I68" s="105">
        <v>37.276935577392578</v>
      </c>
      <c r="J68" s="105"/>
      <c r="K68" s="105"/>
      <c r="L68" s="105">
        <v>39.316812515258789</v>
      </c>
      <c r="M68" s="105"/>
      <c r="N68" s="105"/>
      <c r="O68" s="105">
        <v>38.270229339599609</v>
      </c>
      <c r="P68" s="105"/>
      <c r="Q68" s="105"/>
      <c r="R68" s="105">
        <v>33.709924697875977</v>
      </c>
      <c r="S68" s="105"/>
      <c r="T68" s="105"/>
      <c r="U68" s="105">
        <v>27.925332069396973</v>
      </c>
      <c r="V68" s="105"/>
      <c r="W68" s="105"/>
      <c r="X68" s="105">
        <v>26.252500534057617</v>
      </c>
      <c r="Y68" s="105"/>
      <c r="Z68" s="105"/>
      <c r="AA68" s="105">
        <v>28.359831809997559</v>
      </c>
      <c r="AB68" s="105"/>
      <c r="AC68" s="105"/>
      <c r="AD68" s="24">
        <v>29.442655563354492</v>
      </c>
      <c r="AE68" s="108"/>
      <c r="AF68" s="108"/>
      <c r="AG68" s="19">
        <v>25.03242015838623</v>
      </c>
      <c r="AH68" s="38">
        <v>23.934678077697754</v>
      </c>
      <c r="AI68" s="16">
        <v>27.751143455505371</v>
      </c>
    </row>
    <row r="69" spans="1:35">
      <c r="A69" s="15" t="s">
        <v>21</v>
      </c>
      <c r="B69" s="15">
        <v>83</v>
      </c>
      <c r="C69" s="15" t="s">
        <v>22</v>
      </c>
      <c r="E69" s="105"/>
      <c r="F69" s="105">
        <v>30.36623477935791</v>
      </c>
      <c r="G69" s="105"/>
      <c r="H69" s="105"/>
      <c r="I69" s="105">
        <v>33.269594192504883</v>
      </c>
      <c r="J69" s="105"/>
      <c r="K69" s="105"/>
      <c r="L69" s="105">
        <v>37.020336151123047</v>
      </c>
      <c r="M69" s="105"/>
      <c r="N69" s="105"/>
      <c r="O69" s="105">
        <v>32.928041458129883</v>
      </c>
      <c r="P69" s="105"/>
      <c r="Q69" s="105"/>
      <c r="R69" s="105">
        <v>32.373001098632812</v>
      </c>
      <c r="S69" s="105"/>
      <c r="T69" s="105"/>
      <c r="U69" s="105">
        <v>26.055638313293457</v>
      </c>
      <c r="V69" s="105"/>
      <c r="W69" s="105"/>
      <c r="X69" s="105">
        <v>25.616582870483398</v>
      </c>
      <c r="Y69" s="105"/>
      <c r="Z69" s="105"/>
      <c r="AA69" s="105">
        <v>26.154788970947266</v>
      </c>
      <c r="AB69" s="105"/>
      <c r="AC69" s="105"/>
      <c r="AD69" s="24">
        <v>26.491237640380859</v>
      </c>
      <c r="AE69" s="108"/>
      <c r="AF69" s="108"/>
      <c r="AG69" s="9">
        <v>25.08</v>
      </c>
      <c r="AH69" s="36">
        <v>25.18</v>
      </c>
      <c r="AI69" s="16">
        <v>27.830202102661133</v>
      </c>
    </row>
    <row r="70" spans="1:35">
      <c r="A70" s="15" t="s">
        <v>21</v>
      </c>
      <c r="B70" s="15">
        <v>83</v>
      </c>
      <c r="C70" s="15" t="s">
        <v>22</v>
      </c>
      <c r="E70" s="105"/>
      <c r="F70" s="105">
        <v>29.957522392272949</v>
      </c>
      <c r="G70" s="105"/>
      <c r="H70" s="105"/>
      <c r="I70" s="105">
        <v>34.112367630004883</v>
      </c>
      <c r="J70" s="105"/>
      <c r="K70" s="105"/>
      <c r="L70" s="105">
        <v>39.235698699951172</v>
      </c>
      <c r="M70" s="105"/>
      <c r="N70" s="105"/>
      <c r="O70" s="105">
        <v>32.763385772705078</v>
      </c>
      <c r="P70" s="105"/>
      <c r="Q70" s="105"/>
      <c r="R70" s="105">
        <v>34.783336639404297</v>
      </c>
      <c r="S70" s="105"/>
      <c r="T70" s="105"/>
      <c r="U70" s="105">
        <v>28.050459861755371</v>
      </c>
      <c r="V70" s="105"/>
      <c r="W70" s="105"/>
      <c r="X70" s="105">
        <v>27.338047027587891</v>
      </c>
      <c r="Y70" s="105"/>
      <c r="Z70" s="105"/>
      <c r="AA70" s="105">
        <v>25.46877384185791</v>
      </c>
      <c r="AB70" s="105"/>
      <c r="AC70" s="105"/>
      <c r="AD70" s="24">
        <v>25.812405586242676</v>
      </c>
      <c r="AE70" s="108"/>
      <c r="AF70" s="108"/>
      <c r="AG70" s="9">
        <v>24.32</v>
      </c>
      <c r="AH70" s="36">
        <v>26.42</v>
      </c>
      <c r="AI70" s="16">
        <v>26.635309219360352</v>
      </c>
    </row>
    <row r="71" spans="1:35">
      <c r="A71" s="15" t="s">
        <v>21</v>
      </c>
      <c r="B71" s="15">
        <v>85</v>
      </c>
      <c r="C71" s="15" t="s">
        <v>22</v>
      </c>
      <c r="E71" s="105"/>
      <c r="F71" s="105">
        <v>29.579911231994629</v>
      </c>
      <c r="G71" s="105"/>
      <c r="H71" s="105"/>
      <c r="I71" s="105">
        <v>32.394033432006836</v>
      </c>
      <c r="J71" s="105"/>
      <c r="K71" s="105"/>
      <c r="L71" s="105">
        <v>36.887184143066406</v>
      </c>
      <c r="M71" s="105"/>
      <c r="N71" s="105"/>
      <c r="O71" s="105">
        <v>32.100580215454102</v>
      </c>
      <c r="P71" s="105"/>
      <c r="Q71" s="105"/>
      <c r="R71" s="105">
        <v>31.117008209228516</v>
      </c>
      <c r="S71" s="105"/>
      <c r="T71" s="105"/>
      <c r="U71" s="105">
        <v>25.002843856811523</v>
      </c>
      <c r="V71" s="105"/>
      <c r="W71" s="105"/>
      <c r="X71" s="105">
        <v>24.924249649047852</v>
      </c>
      <c r="Y71" s="105"/>
      <c r="Z71" s="105"/>
      <c r="AA71" s="105">
        <v>25.316884994506836</v>
      </c>
      <c r="AB71" s="105"/>
      <c r="AC71" s="105"/>
      <c r="AD71" s="24">
        <v>25.740513801574707</v>
      </c>
      <c r="AE71" s="108"/>
      <c r="AF71" s="108"/>
      <c r="AG71" s="9">
        <v>24.7</v>
      </c>
      <c r="AH71" s="36">
        <v>25.27</v>
      </c>
      <c r="AI71" s="16">
        <v>25.764450073242188</v>
      </c>
    </row>
    <row r="72" spans="1:35">
      <c r="A72" s="44" t="s">
        <v>21</v>
      </c>
      <c r="B72" s="44">
        <v>68</v>
      </c>
      <c r="C72" s="44" t="s">
        <v>22</v>
      </c>
      <c r="E72" s="45"/>
      <c r="F72" s="45">
        <v>35.143932342529297</v>
      </c>
      <c r="G72" s="45"/>
      <c r="H72" s="45"/>
      <c r="I72" s="45">
        <v>38.049354553222656</v>
      </c>
      <c r="J72" s="45"/>
      <c r="K72" s="45"/>
      <c r="L72" s="45">
        <v>40</v>
      </c>
      <c r="M72" s="45"/>
      <c r="N72" s="45"/>
      <c r="O72" s="45">
        <v>40</v>
      </c>
      <c r="P72" s="45"/>
      <c r="Q72" s="45"/>
      <c r="R72" s="45">
        <v>35.455907821655273</v>
      </c>
      <c r="S72" s="45"/>
      <c r="T72" s="45"/>
      <c r="U72" s="45">
        <v>26.861865997314453</v>
      </c>
      <c r="V72" s="45"/>
      <c r="W72" s="45"/>
      <c r="X72" s="45">
        <v>28.997125625610352</v>
      </c>
      <c r="Y72" s="45"/>
      <c r="Z72" s="45"/>
      <c r="AA72" s="45">
        <v>28.018038749694824</v>
      </c>
      <c r="AB72" s="45"/>
      <c r="AC72" s="45"/>
      <c r="AD72" s="45">
        <v>30.140938758850098</v>
      </c>
      <c r="AE72" s="45"/>
      <c r="AF72" s="45"/>
      <c r="AG72" s="9">
        <v>24.47</v>
      </c>
      <c r="AH72" s="36">
        <v>26.78</v>
      </c>
      <c r="AI72" s="16">
        <v>30.371376037597656</v>
      </c>
    </row>
    <row r="73" spans="1:35">
      <c r="A73" s="15" t="s">
        <v>21</v>
      </c>
      <c r="B73" s="15">
        <v>74</v>
      </c>
      <c r="C73" s="15" t="s">
        <v>22</v>
      </c>
      <c r="E73" s="16"/>
      <c r="F73" s="16">
        <v>31.137813568115234</v>
      </c>
      <c r="G73" s="16"/>
      <c r="H73" s="16"/>
      <c r="I73" s="16">
        <v>35.392000198364258</v>
      </c>
      <c r="J73" s="16"/>
      <c r="K73" s="16"/>
      <c r="L73" s="16">
        <v>38.216550827026367</v>
      </c>
      <c r="M73" s="16"/>
      <c r="N73" s="16"/>
      <c r="O73" s="16">
        <v>34.940603256225586</v>
      </c>
      <c r="P73" s="16"/>
      <c r="Q73" s="16"/>
      <c r="R73" s="16">
        <v>33.115497589111328</v>
      </c>
      <c r="S73" s="16"/>
      <c r="T73" s="16"/>
      <c r="U73" s="16">
        <v>25.752556800842285</v>
      </c>
      <c r="V73" s="16"/>
      <c r="W73" s="16"/>
      <c r="X73" s="16">
        <v>26.085796356201172</v>
      </c>
      <c r="Y73" s="16"/>
      <c r="Z73" s="16"/>
      <c r="AA73" s="16">
        <v>25.591926574707031</v>
      </c>
      <c r="AB73" s="16"/>
      <c r="AC73" s="16"/>
      <c r="AD73" s="16">
        <v>26.591707229614258</v>
      </c>
      <c r="AE73" s="16"/>
      <c r="AF73" s="16"/>
      <c r="AG73" s="9">
        <v>24.86</v>
      </c>
      <c r="AH73" s="36">
        <v>26.36</v>
      </c>
      <c r="AI73" s="32">
        <v>25.72</v>
      </c>
    </row>
    <row r="74" spans="1:35">
      <c r="A74" s="15" t="s">
        <v>21</v>
      </c>
      <c r="B74" s="15">
        <v>79</v>
      </c>
      <c r="C74" s="15" t="s">
        <v>22</v>
      </c>
      <c r="E74" s="16"/>
      <c r="F74" s="16">
        <v>29.931440353393555</v>
      </c>
      <c r="G74" s="16"/>
      <c r="H74" s="16"/>
      <c r="I74" s="16">
        <v>32.032029151916504</v>
      </c>
      <c r="J74" s="16"/>
      <c r="K74" s="16"/>
      <c r="L74" s="16">
        <v>36.153556823730469</v>
      </c>
      <c r="M74" s="16"/>
      <c r="N74" s="16"/>
      <c r="O74" s="16">
        <v>33.404607772827148</v>
      </c>
      <c r="P74" s="16"/>
      <c r="Q74" s="16"/>
      <c r="R74" s="16">
        <v>30.04469108581543</v>
      </c>
      <c r="S74" s="16"/>
      <c r="T74" s="16"/>
      <c r="U74" s="16">
        <v>22.491039276123047</v>
      </c>
      <c r="V74" s="16"/>
      <c r="W74" s="16"/>
      <c r="X74" s="16">
        <v>25.230588912963867</v>
      </c>
      <c r="Y74" s="16"/>
      <c r="Z74" s="16"/>
      <c r="AA74" s="16">
        <v>25.548906326293945</v>
      </c>
      <c r="AB74" s="16"/>
      <c r="AC74" s="16"/>
      <c r="AD74" s="16">
        <v>26.324018478393555</v>
      </c>
      <c r="AE74" s="16"/>
      <c r="AF74" s="16"/>
      <c r="AG74" s="9">
        <v>26.04</v>
      </c>
      <c r="AH74" s="38">
        <v>25.751280784606934</v>
      </c>
      <c r="AI74" s="12">
        <v>26.9</v>
      </c>
    </row>
    <row r="75" spans="1:35">
      <c r="A75" s="15" t="s">
        <v>21</v>
      </c>
      <c r="B75" s="15">
        <v>79</v>
      </c>
      <c r="C75" s="15" t="s">
        <v>22</v>
      </c>
      <c r="E75" s="16"/>
      <c r="F75" s="16">
        <v>31.964566230773926</v>
      </c>
      <c r="G75" s="16"/>
      <c r="H75" s="16"/>
      <c r="I75" s="16">
        <v>34.02386474609375</v>
      </c>
      <c r="J75" s="16"/>
      <c r="K75" s="16"/>
      <c r="L75" s="16">
        <v>38.164972305297852</v>
      </c>
      <c r="M75" s="16"/>
      <c r="N75" s="16"/>
      <c r="O75" s="16">
        <v>35.518531799316406</v>
      </c>
      <c r="P75" s="16"/>
      <c r="Q75" s="16"/>
      <c r="R75" s="16">
        <v>32.709894180297852</v>
      </c>
      <c r="S75" s="16"/>
      <c r="T75" s="16"/>
      <c r="U75" s="16">
        <v>24.76209831237793</v>
      </c>
      <c r="V75" s="16"/>
      <c r="W75" s="16"/>
      <c r="X75" s="16">
        <v>25.760476112365723</v>
      </c>
      <c r="Y75" s="16"/>
      <c r="Z75" s="16"/>
      <c r="AA75" s="16">
        <v>25.752110481262207</v>
      </c>
      <c r="AB75" s="16"/>
      <c r="AC75" s="16"/>
      <c r="AD75" s="16">
        <v>26.985294342041016</v>
      </c>
      <c r="AE75" s="16"/>
      <c r="AF75" s="16"/>
      <c r="AG75" s="32">
        <v>25.57</v>
      </c>
      <c r="AH75" s="38">
        <v>26.102410316467285</v>
      </c>
      <c r="AI75" s="12">
        <v>25.56</v>
      </c>
    </row>
    <row r="76" spans="1:35">
      <c r="A76" s="15" t="s">
        <v>21</v>
      </c>
      <c r="B76" s="15">
        <v>79</v>
      </c>
      <c r="C76" s="15" t="s">
        <v>22</v>
      </c>
      <c r="E76" s="16"/>
      <c r="F76" s="16">
        <v>31.224617958068848</v>
      </c>
      <c r="G76" s="16"/>
      <c r="H76" s="16"/>
      <c r="I76" s="16">
        <v>32.392122268676758</v>
      </c>
      <c r="J76" s="16"/>
      <c r="K76" s="16"/>
      <c r="L76" s="16">
        <v>36.93830680847168</v>
      </c>
      <c r="M76" s="16"/>
      <c r="N76" s="16"/>
      <c r="O76" s="16">
        <v>34.237541198730469</v>
      </c>
      <c r="P76" s="16"/>
      <c r="Q76" s="16"/>
      <c r="R76" s="16">
        <v>30.440633773803711</v>
      </c>
      <c r="S76" s="16"/>
      <c r="T76" s="16"/>
      <c r="U76" s="16">
        <v>24.78669548034668</v>
      </c>
      <c r="V76" s="16"/>
      <c r="W76" s="16"/>
      <c r="X76" s="16">
        <v>24.454558372497559</v>
      </c>
      <c r="Y76" s="16"/>
      <c r="Z76" s="16"/>
      <c r="AA76" s="16">
        <v>25.756049156188965</v>
      </c>
      <c r="AB76" s="16"/>
      <c r="AC76" s="16"/>
      <c r="AD76" s="16">
        <v>26.43195629119873</v>
      </c>
      <c r="AE76" s="16"/>
      <c r="AF76" s="16"/>
      <c r="AG76" s="9">
        <v>26.58</v>
      </c>
      <c r="AH76" s="38">
        <v>25.449786186218262</v>
      </c>
      <c r="AI76" s="12">
        <v>27.35</v>
      </c>
    </row>
    <row r="77" spans="1:35">
      <c r="A77" s="15" t="s">
        <v>21</v>
      </c>
      <c r="B77" s="15">
        <v>80</v>
      </c>
      <c r="C77" s="15" t="s">
        <v>22</v>
      </c>
      <c r="E77" s="16"/>
      <c r="F77" s="16">
        <v>30.79697322845459</v>
      </c>
      <c r="G77" s="16"/>
      <c r="H77" s="16"/>
      <c r="I77" s="16">
        <v>34.848838806152344</v>
      </c>
      <c r="J77" s="16"/>
      <c r="K77" s="16"/>
      <c r="L77" s="16">
        <v>36.978666305541992</v>
      </c>
      <c r="M77" s="16"/>
      <c r="N77" s="16"/>
      <c r="O77" s="16">
        <v>33.749357223510742</v>
      </c>
      <c r="P77" s="16"/>
      <c r="Q77" s="16"/>
      <c r="R77" s="16">
        <v>30.91673755645752</v>
      </c>
      <c r="S77" s="16"/>
      <c r="T77" s="16"/>
      <c r="U77" s="16">
        <v>24.524566650390625</v>
      </c>
      <c r="V77" s="16"/>
      <c r="W77" s="16"/>
      <c r="X77" s="16">
        <v>24.924362182617188</v>
      </c>
      <c r="Y77" s="16"/>
      <c r="Z77" s="16"/>
      <c r="AA77" s="16">
        <v>25.601898193359375</v>
      </c>
      <c r="AB77" s="16"/>
      <c r="AC77" s="16"/>
      <c r="AD77" s="16">
        <v>26.208700180053711</v>
      </c>
      <c r="AE77" s="16"/>
      <c r="AF77" s="16"/>
      <c r="AG77" s="9">
        <v>25.93</v>
      </c>
      <c r="AH77" s="38">
        <v>25.738082885742188</v>
      </c>
      <c r="AI77" s="12">
        <v>29.4</v>
      </c>
    </row>
    <row r="78" spans="1:35">
      <c r="A78" s="15" t="s">
        <v>21</v>
      </c>
      <c r="B78" s="15">
        <v>81</v>
      </c>
      <c r="C78" s="15" t="s">
        <v>22</v>
      </c>
      <c r="E78" s="16"/>
      <c r="F78" s="16">
        <v>27.67246150970459</v>
      </c>
      <c r="G78" s="16"/>
      <c r="H78" s="16"/>
      <c r="I78" s="16">
        <v>32.210699081420898</v>
      </c>
      <c r="J78" s="16"/>
      <c r="K78" s="16"/>
      <c r="L78" s="16">
        <v>35.982397079467773</v>
      </c>
      <c r="M78" s="16"/>
      <c r="N78" s="16"/>
      <c r="O78" s="16">
        <v>31.385869979858398</v>
      </c>
      <c r="P78" s="16"/>
      <c r="Q78" s="16"/>
      <c r="R78" s="16">
        <v>30.478135108947754</v>
      </c>
      <c r="S78" s="16"/>
      <c r="T78" s="16"/>
      <c r="U78" s="16">
        <v>25.159687995910645</v>
      </c>
      <c r="V78" s="16"/>
      <c r="W78" s="16"/>
      <c r="X78" s="16">
        <v>24.641098976135254</v>
      </c>
      <c r="Y78" s="16"/>
      <c r="Z78" s="16"/>
      <c r="AA78" s="16">
        <v>24.045788764953613</v>
      </c>
      <c r="AB78" s="16"/>
      <c r="AC78" s="16"/>
      <c r="AD78" s="16">
        <v>24.707327842712402</v>
      </c>
      <c r="AE78" s="16"/>
      <c r="AF78" s="16"/>
      <c r="AG78" s="9">
        <v>26.07</v>
      </c>
      <c r="AH78" s="38">
        <v>26.039128303527832</v>
      </c>
      <c r="AI78" s="12">
        <v>27.27</v>
      </c>
    </row>
    <row r="79" spans="1:35">
      <c r="A79" s="15" t="s">
        <v>21</v>
      </c>
      <c r="B79" s="15">
        <v>81</v>
      </c>
      <c r="C79" s="15" t="s">
        <v>22</v>
      </c>
      <c r="E79" s="16"/>
      <c r="F79" s="16">
        <v>30.88267993927002</v>
      </c>
      <c r="G79" s="16"/>
      <c r="H79" s="16"/>
      <c r="I79" s="16">
        <v>34.122598648071289</v>
      </c>
      <c r="J79" s="16"/>
      <c r="K79" s="16"/>
      <c r="L79" s="16">
        <v>37.492433547973633</v>
      </c>
      <c r="M79" s="16"/>
      <c r="N79" s="16"/>
      <c r="O79" s="16">
        <v>34.210533142089844</v>
      </c>
      <c r="P79" s="16"/>
      <c r="Q79" s="16"/>
      <c r="R79" s="16">
        <v>31.440203666687012</v>
      </c>
      <c r="S79" s="16"/>
      <c r="T79" s="16"/>
      <c r="U79" s="16">
        <v>25.933194160461426</v>
      </c>
      <c r="V79" s="16"/>
      <c r="W79" s="16"/>
      <c r="X79" s="16">
        <v>24.958253860473633</v>
      </c>
      <c r="Y79" s="16"/>
      <c r="Z79" s="16"/>
      <c r="AA79" s="16">
        <v>25.643603324890137</v>
      </c>
      <c r="AB79" s="16"/>
      <c r="AC79" s="16"/>
      <c r="AD79" s="16">
        <v>26.270416259765625</v>
      </c>
      <c r="AE79" s="16"/>
      <c r="AF79" s="16"/>
      <c r="AG79" s="19">
        <v>24.627211570739746</v>
      </c>
      <c r="AH79" s="38">
        <v>25.829936981201172</v>
      </c>
      <c r="AI79" s="12">
        <v>27.66</v>
      </c>
    </row>
    <row r="80" spans="1:35">
      <c r="A80" s="18" t="s">
        <v>21</v>
      </c>
      <c r="B80" s="15">
        <v>82</v>
      </c>
      <c r="C80" s="15" t="s">
        <v>22</v>
      </c>
      <c r="E80" s="16"/>
      <c r="F80" s="16">
        <v>32.115718841552734</v>
      </c>
      <c r="G80" s="16"/>
      <c r="H80" s="16"/>
      <c r="I80" s="16">
        <v>34.559726715087891</v>
      </c>
      <c r="J80" s="16"/>
      <c r="K80" s="16"/>
      <c r="L80" s="16">
        <v>36.732698440551758</v>
      </c>
      <c r="M80" s="16"/>
      <c r="N80" s="16"/>
      <c r="O80" s="16">
        <v>35.258420944213867</v>
      </c>
      <c r="P80" s="16"/>
      <c r="Q80" s="16"/>
      <c r="R80" s="16">
        <v>31.255364418029785</v>
      </c>
      <c r="S80" s="16"/>
      <c r="T80" s="16"/>
      <c r="U80" s="16">
        <v>25.754688262939453</v>
      </c>
      <c r="V80" s="16"/>
      <c r="W80" s="16"/>
      <c r="X80" s="16">
        <v>24.483501434326172</v>
      </c>
      <c r="Y80" s="16"/>
      <c r="Z80" s="16"/>
      <c r="AA80" s="16">
        <v>26.415508270263672</v>
      </c>
      <c r="AB80" s="16"/>
      <c r="AC80" s="16"/>
      <c r="AD80" s="16">
        <v>27.371695518493652</v>
      </c>
      <c r="AE80" s="16"/>
      <c r="AF80" s="16"/>
      <c r="AG80" s="19">
        <v>25.371308326721191</v>
      </c>
      <c r="AH80" s="38">
        <v>24.94963550567627</v>
      </c>
      <c r="AI80" s="12">
        <v>28</v>
      </c>
    </row>
    <row r="81" spans="1:35">
      <c r="A81" s="15" t="s">
        <v>21</v>
      </c>
      <c r="B81" s="15">
        <v>83</v>
      </c>
      <c r="C81" s="15" t="s">
        <v>22</v>
      </c>
      <c r="E81" s="16"/>
      <c r="F81" s="16">
        <v>29.905985832214355</v>
      </c>
      <c r="G81" s="16"/>
      <c r="H81" s="16"/>
      <c r="I81" s="16">
        <v>32.941898345947266</v>
      </c>
      <c r="J81" s="16"/>
      <c r="K81" s="16"/>
      <c r="L81" s="16">
        <v>35.625682830810547</v>
      </c>
      <c r="M81" s="16"/>
      <c r="N81" s="16"/>
      <c r="O81" s="16">
        <v>32.889713287353516</v>
      </c>
      <c r="P81" s="16"/>
      <c r="Q81" s="16"/>
      <c r="R81" s="16">
        <v>30.720907211303711</v>
      </c>
      <c r="S81" s="16"/>
      <c r="T81" s="16"/>
      <c r="U81" s="16">
        <v>25.294829368591309</v>
      </c>
      <c r="V81" s="16"/>
      <c r="W81" s="16"/>
      <c r="X81" s="16">
        <v>24.692415237426758</v>
      </c>
      <c r="Y81" s="16"/>
      <c r="Z81" s="16"/>
      <c r="AA81" s="16">
        <v>25.418143272399902</v>
      </c>
      <c r="AB81" s="16"/>
      <c r="AC81" s="16"/>
      <c r="AD81" s="16">
        <v>26.12809944152832</v>
      </c>
      <c r="AE81" s="16"/>
      <c r="AF81" s="16"/>
      <c r="AG81" s="40">
        <v>23.726280212402344</v>
      </c>
      <c r="AH81" s="38">
        <v>26.544415473937988</v>
      </c>
      <c r="AI81" s="12">
        <v>26.44</v>
      </c>
    </row>
    <row r="82" spans="1:35">
      <c r="A82" s="15" t="s">
        <v>21</v>
      </c>
      <c r="B82" s="15">
        <v>83</v>
      </c>
      <c r="C82" s="15" t="s">
        <v>22</v>
      </c>
      <c r="E82" s="16"/>
      <c r="F82" s="16">
        <v>32.218549728393555</v>
      </c>
      <c r="G82" s="16"/>
      <c r="H82" s="16"/>
      <c r="I82" s="16">
        <v>34.365879058837891</v>
      </c>
      <c r="J82" s="16"/>
      <c r="K82" s="16"/>
      <c r="L82" s="16">
        <v>38.343072891235352</v>
      </c>
      <c r="M82" s="16"/>
      <c r="N82" s="16"/>
      <c r="O82" s="16">
        <v>35.834821701049805</v>
      </c>
      <c r="P82" s="16"/>
      <c r="Q82" s="16"/>
      <c r="R82" s="16">
        <v>30.161924362182617</v>
      </c>
      <c r="S82" s="16"/>
      <c r="T82" s="16"/>
      <c r="U82" s="16">
        <v>23.376090049743652</v>
      </c>
      <c r="V82" s="16"/>
      <c r="W82" s="16"/>
      <c r="X82" s="16">
        <v>24.69061279296875</v>
      </c>
      <c r="Y82" s="16"/>
      <c r="Z82" s="16"/>
      <c r="AA82" s="16">
        <v>25.722087860107422</v>
      </c>
      <c r="AB82" s="16"/>
      <c r="AC82" s="16"/>
      <c r="AD82" s="16">
        <v>27.138741493225098</v>
      </c>
      <c r="AE82" s="16"/>
      <c r="AF82" s="16"/>
      <c r="AG82" s="19">
        <v>25.427907943725586</v>
      </c>
      <c r="AH82" s="38">
        <v>25.570493698120117</v>
      </c>
      <c r="AI82" s="12">
        <v>27.07</v>
      </c>
    </row>
    <row r="83" spans="1:35">
      <c r="A83" s="15" t="s">
        <v>21</v>
      </c>
      <c r="B83" s="15">
        <v>84</v>
      </c>
      <c r="C83" s="15" t="s">
        <v>22</v>
      </c>
      <c r="E83" s="16"/>
      <c r="F83" s="16">
        <v>34.476358413696289</v>
      </c>
      <c r="G83" s="16"/>
      <c r="H83" s="16"/>
      <c r="I83" s="16">
        <v>36.491004943847656</v>
      </c>
      <c r="J83" s="16"/>
      <c r="K83" s="16"/>
      <c r="L83" s="16">
        <v>40</v>
      </c>
      <c r="M83" s="16"/>
      <c r="N83" s="16"/>
      <c r="O83" s="16">
        <v>39.1671142578125</v>
      </c>
      <c r="P83" s="16"/>
      <c r="Q83" s="16"/>
      <c r="R83" s="16">
        <v>32.23621940612793</v>
      </c>
      <c r="S83" s="16"/>
      <c r="T83" s="16"/>
      <c r="U83" s="16">
        <v>25.129605293273926</v>
      </c>
      <c r="V83" s="16"/>
      <c r="W83" s="16"/>
      <c r="X83" s="16">
        <v>25.794859886169434</v>
      </c>
      <c r="Y83" s="16"/>
      <c r="Z83" s="16"/>
      <c r="AA83" s="16">
        <v>26.756777763366699</v>
      </c>
      <c r="AB83" s="16"/>
      <c r="AC83" s="16"/>
      <c r="AD83" s="16">
        <v>29.376679420471191</v>
      </c>
      <c r="AE83" s="16"/>
      <c r="AF83" s="16"/>
      <c r="AG83" s="19">
        <v>25.393081665039062</v>
      </c>
      <c r="AH83" s="38">
        <v>25.576419830322266</v>
      </c>
      <c r="AI83" s="16">
        <v>25.92091178894043</v>
      </c>
    </row>
    <row r="84" spans="1:35">
      <c r="A84" s="15" t="s">
        <v>21</v>
      </c>
      <c r="B84" s="15">
        <v>84</v>
      </c>
      <c r="C84" s="15" t="s">
        <v>22</v>
      </c>
      <c r="E84" s="16"/>
      <c r="F84" s="16">
        <v>31.154293060302734</v>
      </c>
      <c r="G84" s="16"/>
      <c r="H84" s="16"/>
      <c r="I84" s="16">
        <v>33.197694778442383</v>
      </c>
      <c r="J84" s="16"/>
      <c r="K84" s="16"/>
      <c r="L84" s="16">
        <v>37.682859420776367</v>
      </c>
      <c r="M84" s="16"/>
      <c r="N84" s="16"/>
      <c r="O84" s="16">
        <v>35.397262573242188</v>
      </c>
      <c r="P84" s="16"/>
      <c r="Q84" s="16"/>
      <c r="R84" s="16">
        <v>32.031824111938477</v>
      </c>
      <c r="S84" s="16"/>
      <c r="T84" s="16"/>
      <c r="U84" s="16">
        <v>23.36838436126709</v>
      </c>
      <c r="V84" s="16"/>
      <c r="W84" s="16"/>
      <c r="X84" s="16">
        <v>26.312516212463379</v>
      </c>
      <c r="Y84" s="16"/>
      <c r="Z84" s="16"/>
      <c r="AA84" s="16">
        <v>24.747450828552246</v>
      </c>
      <c r="AB84" s="16"/>
      <c r="AC84" s="16"/>
      <c r="AD84" s="16">
        <v>25.949223518371582</v>
      </c>
      <c r="AE84" s="16"/>
      <c r="AF84" s="16"/>
      <c r="AG84" s="20">
        <v>25.090306282043457</v>
      </c>
      <c r="AH84" s="38">
        <v>24.995038032531738</v>
      </c>
      <c r="AI84" s="16">
        <v>27.06330394744873</v>
      </c>
    </row>
    <row r="85" spans="1:35">
      <c r="A85" s="15" t="s">
        <v>21</v>
      </c>
      <c r="B85" s="15">
        <v>85</v>
      </c>
      <c r="C85" s="15" t="s">
        <v>22</v>
      </c>
      <c r="E85" s="16"/>
      <c r="F85" s="16">
        <v>32.875356674194336</v>
      </c>
      <c r="G85" s="16"/>
      <c r="H85" s="16"/>
      <c r="I85" s="16">
        <v>35.132743835449219</v>
      </c>
      <c r="J85" s="16"/>
      <c r="K85" s="16"/>
      <c r="L85" s="16">
        <v>39.254856109619141</v>
      </c>
      <c r="M85" s="16"/>
      <c r="N85" s="16"/>
      <c r="O85" s="16">
        <v>38.378025054931641</v>
      </c>
      <c r="P85" s="16"/>
      <c r="Q85" s="16"/>
      <c r="R85" s="16">
        <v>32.433622360229492</v>
      </c>
      <c r="S85" s="16"/>
      <c r="T85" s="16"/>
      <c r="U85" s="16">
        <v>26.604137420654297</v>
      </c>
      <c r="V85" s="16"/>
      <c r="W85" s="16"/>
      <c r="X85" s="16">
        <v>25.711733818054199</v>
      </c>
      <c r="Y85" s="16"/>
      <c r="Z85" s="16"/>
      <c r="AA85" s="16">
        <v>26.505664825439453</v>
      </c>
      <c r="AB85" s="16"/>
      <c r="AC85" s="16"/>
      <c r="AD85" s="16">
        <v>27.796683311462402</v>
      </c>
      <c r="AE85" s="16"/>
      <c r="AF85" s="16"/>
      <c r="AG85" s="20">
        <v>25.571425437927246</v>
      </c>
      <c r="AH85" s="38">
        <v>24.313339233398438</v>
      </c>
      <c r="AI85" s="16">
        <v>26.921492576599121</v>
      </c>
    </row>
    <row r="86" spans="1:35">
      <c r="A86" s="15" t="s">
        <v>21</v>
      </c>
      <c r="B86" s="15">
        <v>85</v>
      </c>
      <c r="C86" s="15" t="s">
        <v>22</v>
      </c>
      <c r="E86" s="16"/>
      <c r="F86" s="16">
        <v>34.963918685913086</v>
      </c>
      <c r="G86" s="16"/>
      <c r="H86" s="16"/>
      <c r="I86" s="16">
        <v>36.979085922241211</v>
      </c>
      <c r="J86" s="16"/>
      <c r="K86" s="16"/>
      <c r="L86" s="16">
        <v>40</v>
      </c>
      <c r="M86" s="16"/>
      <c r="N86" s="16"/>
      <c r="O86" s="16">
        <v>39.403221130371094</v>
      </c>
      <c r="P86" s="16"/>
      <c r="Q86" s="16"/>
      <c r="R86" s="16">
        <v>32.553316116333008</v>
      </c>
      <c r="S86" s="16"/>
      <c r="T86" s="16"/>
      <c r="U86" s="16">
        <v>23.993029594421387</v>
      </c>
      <c r="V86" s="16"/>
      <c r="W86" s="16"/>
      <c r="X86" s="16">
        <v>25.855335235595703</v>
      </c>
      <c r="Y86" s="16"/>
      <c r="Z86" s="16"/>
      <c r="AA86" s="16">
        <v>27.27164363861084</v>
      </c>
      <c r="AB86" s="16"/>
      <c r="AC86" s="16"/>
      <c r="AD86" s="16">
        <v>29.899239540100098</v>
      </c>
      <c r="AE86" s="16"/>
      <c r="AF86" s="16"/>
      <c r="AG86" s="20">
        <v>25.795326232910156</v>
      </c>
      <c r="AH86" s="38">
        <v>23.89047908782959</v>
      </c>
      <c r="AI86" s="43">
        <v>27.035662651062012</v>
      </c>
    </row>
    <row r="87" spans="1:35">
      <c r="A87" s="15" t="s">
        <v>21</v>
      </c>
      <c r="B87" s="15">
        <v>85</v>
      </c>
      <c r="C87" s="15" t="s">
        <v>22</v>
      </c>
      <c r="E87" s="16"/>
      <c r="F87" s="16">
        <v>35.188318252563477</v>
      </c>
      <c r="G87" s="16"/>
      <c r="H87" s="16"/>
      <c r="I87" s="16">
        <v>36.594205856323242</v>
      </c>
      <c r="J87" s="16"/>
      <c r="K87" s="16"/>
      <c r="L87" s="16">
        <v>39.022518157958984</v>
      </c>
      <c r="M87" s="16"/>
      <c r="N87" s="16"/>
      <c r="O87" s="16">
        <v>39.341266632080078</v>
      </c>
      <c r="P87" s="16"/>
      <c r="Q87" s="16"/>
      <c r="R87" s="16">
        <v>31.379887580871582</v>
      </c>
      <c r="S87" s="16"/>
      <c r="T87" s="16"/>
      <c r="U87" s="16">
        <v>25.92220401763916</v>
      </c>
      <c r="V87" s="16"/>
      <c r="W87" s="16"/>
      <c r="X87" s="16">
        <v>25.389344215393066</v>
      </c>
      <c r="Y87" s="16"/>
      <c r="Z87" s="16"/>
      <c r="AA87" s="16">
        <v>26.806018829345703</v>
      </c>
      <c r="AB87" s="16"/>
      <c r="AC87" s="16"/>
      <c r="AD87" s="16">
        <v>30.630071640014648</v>
      </c>
      <c r="AE87" s="16"/>
      <c r="AF87" s="16"/>
      <c r="AG87" s="20">
        <v>25.370951652526855</v>
      </c>
      <c r="AH87" s="38">
        <v>24.956825256347656</v>
      </c>
      <c r="AI87" s="16">
        <v>26.877161026000977</v>
      </c>
    </row>
    <row r="88" spans="1:35">
      <c r="A88" s="15" t="s">
        <v>21</v>
      </c>
      <c r="B88" s="15">
        <v>70</v>
      </c>
      <c r="C88" s="15" t="s">
        <v>22</v>
      </c>
      <c r="E88" s="16"/>
      <c r="F88" s="16">
        <v>34.952526092529297</v>
      </c>
      <c r="G88" s="16"/>
      <c r="H88" s="16"/>
      <c r="I88" s="16">
        <v>37.135711669921875</v>
      </c>
      <c r="J88" s="16"/>
      <c r="K88" s="16"/>
      <c r="L88" s="16">
        <v>38.904438018798828</v>
      </c>
      <c r="M88" s="16"/>
      <c r="N88" s="16"/>
      <c r="O88" s="16">
        <v>38.463066101074219</v>
      </c>
      <c r="P88" s="16"/>
      <c r="Q88" s="16"/>
      <c r="R88" s="16">
        <v>32.237710952758789</v>
      </c>
      <c r="S88" s="16"/>
      <c r="T88" s="16"/>
      <c r="U88" s="16">
        <v>25.363284111022949</v>
      </c>
      <c r="V88" s="16"/>
      <c r="W88" s="16"/>
      <c r="X88" s="16">
        <v>25.878627777099609</v>
      </c>
      <c r="Y88" s="16"/>
      <c r="Z88" s="16"/>
      <c r="AA88" s="16">
        <v>27.098328590393066</v>
      </c>
      <c r="AB88" s="16"/>
      <c r="AC88" s="16"/>
      <c r="AD88" s="16">
        <v>29.63352108001709</v>
      </c>
      <c r="AE88" s="16"/>
      <c r="AF88" s="16"/>
      <c r="AG88" s="20">
        <v>25.571351051330566</v>
      </c>
      <c r="AH88" s="38">
        <v>24.991240501403809</v>
      </c>
      <c r="AI88" s="16">
        <v>28.552369117736816</v>
      </c>
    </row>
    <row r="89" spans="1:35">
      <c r="A89" s="15" t="s">
        <v>21</v>
      </c>
      <c r="B89" s="15">
        <v>71</v>
      </c>
      <c r="C89" s="15" t="s">
        <v>22</v>
      </c>
      <c r="E89" s="16"/>
      <c r="F89" s="16">
        <v>32.627283096313477</v>
      </c>
      <c r="G89" s="16"/>
      <c r="H89" s="16"/>
      <c r="I89" s="16">
        <v>33.826047897338867</v>
      </c>
      <c r="J89" s="16"/>
      <c r="K89" s="16"/>
      <c r="L89" s="16">
        <v>37.764070510864258</v>
      </c>
      <c r="M89" s="16"/>
      <c r="N89" s="16"/>
      <c r="O89" s="16">
        <v>35.935583114624023</v>
      </c>
      <c r="P89" s="16"/>
      <c r="Q89" s="16"/>
      <c r="R89" s="16">
        <v>30.420462608337402</v>
      </c>
      <c r="S89" s="16"/>
      <c r="T89" s="16"/>
      <c r="U89" s="16">
        <v>23.862088203430176</v>
      </c>
      <c r="V89" s="16"/>
      <c r="W89" s="16"/>
      <c r="X89" s="16">
        <v>24.745360374450684</v>
      </c>
      <c r="Y89" s="16"/>
      <c r="Z89" s="16"/>
      <c r="AA89" s="16">
        <v>26.02558422088623</v>
      </c>
      <c r="AB89" s="16"/>
      <c r="AC89" s="16"/>
      <c r="AD89" s="16">
        <v>27.605560302734375</v>
      </c>
      <c r="AE89" s="16"/>
      <c r="AF89" s="16"/>
      <c r="AG89" s="19">
        <v>25.551555633544922</v>
      </c>
      <c r="AH89" s="38">
        <v>25.347978591918945</v>
      </c>
      <c r="AI89" s="16">
        <v>25.957157135009766</v>
      </c>
    </row>
    <row r="90" spans="1:35">
      <c r="A90" s="15" t="s">
        <v>21</v>
      </c>
      <c r="B90" s="15">
        <v>72</v>
      </c>
      <c r="C90" s="15" t="s">
        <v>22</v>
      </c>
      <c r="E90" s="16"/>
      <c r="F90" s="16">
        <v>32.509504318237305</v>
      </c>
      <c r="G90" s="16"/>
      <c r="H90" s="16"/>
      <c r="I90" s="16">
        <v>34.914138793945312</v>
      </c>
      <c r="J90" s="16"/>
      <c r="K90" s="16"/>
      <c r="L90" s="16">
        <v>39.29554557800293</v>
      </c>
      <c r="M90" s="16"/>
      <c r="N90" s="16"/>
      <c r="O90" s="16">
        <v>36.251737594604492</v>
      </c>
      <c r="P90" s="16"/>
      <c r="Q90" s="16"/>
      <c r="R90" s="16">
        <v>31.565641403198242</v>
      </c>
      <c r="S90" s="16"/>
      <c r="T90" s="16"/>
      <c r="U90" s="16">
        <v>25.008384704589844</v>
      </c>
      <c r="V90" s="16"/>
      <c r="W90" s="16"/>
      <c r="X90" s="16">
        <v>25.901707649230957</v>
      </c>
      <c r="Y90" s="16"/>
      <c r="Z90" s="16"/>
      <c r="AA90" s="16">
        <v>26.076554298400879</v>
      </c>
      <c r="AB90" s="16"/>
      <c r="AC90" s="16"/>
      <c r="AD90" s="16">
        <v>27.403627395629883</v>
      </c>
      <c r="AE90" s="16"/>
      <c r="AF90" s="16"/>
      <c r="AG90" s="19">
        <v>25.705477714538574</v>
      </c>
      <c r="AH90" s="38">
        <v>24.44382381439209</v>
      </c>
      <c r="AI90" s="16">
        <v>26.953971862792969</v>
      </c>
    </row>
    <row r="91" spans="1:35">
      <c r="A91" s="15" t="s">
        <v>21</v>
      </c>
      <c r="B91" s="15">
        <v>73</v>
      </c>
      <c r="C91" s="15" t="s">
        <v>22</v>
      </c>
      <c r="E91" s="23"/>
      <c r="F91" s="23">
        <v>32.800151824951172</v>
      </c>
      <c r="G91" s="23"/>
      <c r="H91" s="23"/>
      <c r="I91" s="23">
        <v>34.443191528320312</v>
      </c>
      <c r="J91" s="23"/>
      <c r="K91" s="23"/>
      <c r="L91" s="23">
        <v>38.587230682373047</v>
      </c>
      <c r="M91" s="23"/>
      <c r="N91" s="23"/>
      <c r="O91" s="23">
        <v>36.268108367919922</v>
      </c>
      <c r="P91" s="23"/>
      <c r="Q91" s="23"/>
      <c r="R91" s="23">
        <v>31.70405387878418</v>
      </c>
      <c r="S91" s="23"/>
      <c r="T91" s="23"/>
      <c r="U91" s="23">
        <v>24.54517650604248</v>
      </c>
      <c r="V91" s="23"/>
      <c r="W91" s="23"/>
      <c r="X91" s="23">
        <v>25.651646614074707</v>
      </c>
      <c r="Y91" s="23"/>
      <c r="Z91" s="23"/>
      <c r="AA91" s="23">
        <v>25.788897514343262</v>
      </c>
      <c r="AB91" s="23"/>
      <c r="AC91" s="23"/>
      <c r="AD91" s="23">
        <v>27.409976959228516</v>
      </c>
      <c r="AE91" s="23"/>
      <c r="AF91" s="23"/>
      <c r="AG91" s="9">
        <v>26.81</v>
      </c>
      <c r="AH91" s="36">
        <v>27.24</v>
      </c>
      <c r="AI91" s="16">
        <v>26.717814445495605</v>
      </c>
    </row>
    <row r="92" spans="1:35">
      <c r="A92" s="15" t="s">
        <v>21</v>
      </c>
      <c r="B92" s="15">
        <v>76</v>
      </c>
      <c r="C92" s="15" t="s">
        <v>22</v>
      </c>
      <c r="E92" s="16"/>
      <c r="F92" s="16">
        <v>32.202213287353516</v>
      </c>
      <c r="G92" s="16"/>
      <c r="H92" s="16"/>
      <c r="I92" s="16">
        <v>36.373956680297852</v>
      </c>
      <c r="J92" s="16"/>
      <c r="K92" s="16"/>
      <c r="L92" s="16">
        <v>37.540060043334961</v>
      </c>
      <c r="M92" s="16"/>
      <c r="N92" s="16"/>
      <c r="O92" s="16">
        <v>35.131731033325195</v>
      </c>
      <c r="P92" s="16"/>
      <c r="Q92" s="16"/>
      <c r="R92" s="16">
        <v>31.888036727905273</v>
      </c>
      <c r="S92" s="16"/>
      <c r="T92" s="16"/>
      <c r="U92" s="16">
        <v>25.089645385742188</v>
      </c>
      <c r="V92" s="16"/>
      <c r="W92" s="16"/>
      <c r="X92" s="16">
        <v>25.703036308288574</v>
      </c>
      <c r="Y92" s="16"/>
      <c r="Z92" s="16"/>
      <c r="AA92" s="16">
        <v>26.563449859619141</v>
      </c>
      <c r="AB92" s="16"/>
      <c r="AC92" s="16"/>
      <c r="AD92" s="16">
        <v>28.946111679077148</v>
      </c>
      <c r="AE92" s="16"/>
      <c r="AF92" s="16"/>
      <c r="AG92" s="9">
        <v>26.4</v>
      </c>
      <c r="AH92" s="36">
        <v>28.86</v>
      </c>
      <c r="AI92" s="16">
        <v>26.813823699951172</v>
      </c>
    </row>
    <row r="93" spans="1:35">
      <c r="A93" s="15" t="s">
        <v>21</v>
      </c>
      <c r="B93" s="15">
        <v>78</v>
      </c>
      <c r="C93" s="15" t="s">
        <v>22</v>
      </c>
      <c r="E93" s="16"/>
      <c r="F93" s="16">
        <v>28.479434013366699</v>
      </c>
      <c r="G93" s="16"/>
      <c r="H93" s="16"/>
      <c r="I93" s="16">
        <v>32.47972297668457</v>
      </c>
      <c r="J93" s="16"/>
      <c r="K93" s="16"/>
      <c r="L93" s="16">
        <v>35.585844039916992</v>
      </c>
      <c r="M93" s="16"/>
      <c r="N93" s="16"/>
      <c r="O93" s="16">
        <v>30.809572219848633</v>
      </c>
      <c r="P93" s="16"/>
      <c r="Q93" s="16"/>
      <c r="R93" s="16">
        <v>31.391861915588379</v>
      </c>
      <c r="S93" s="16"/>
      <c r="T93" s="16"/>
      <c r="U93" s="16">
        <v>26.015212059020996</v>
      </c>
      <c r="V93" s="16"/>
      <c r="W93" s="16"/>
      <c r="X93" s="16">
        <v>24.754944801330566</v>
      </c>
      <c r="Y93" s="16"/>
      <c r="Z93" s="16"/>
      <c r="AA93" s="16">
        <v>24.409208297729492</v>
      </c>
      <c r="AB93" s="16"/>
      <c r="AC93" s="16"/>
      <c r="AD93" s="16">
        <v>25.23320484161377</v>
      </c>
      <c r="AE93" s="16"/>
      <c r="AF93" s="16"/>
      <c r="AG93" s="9">
        <v>26.8</v>
      </c>
      <c r="AH93" s="36">
        <v>27.71</v>
      </c>
      <c r="AI93" s="105">
        <v>26.891867637634277</v>
      </c>
    </row>
    <row r="94" spans="1:35">
      <c r="A94" s="15" t="s">
        <v>21</v>
      </c>
      <c r="B94" s="15">
        <v>78</v>
      </c>
      <c r="C94" s="15" t="s">
        <v>22</v>
      </c>
      <c r="E94" s="16"/>
      <c r="F94" s="16">
        <v>31.960832595825195</v>
      </c>
      <c r="G94" s="16"/>
      <c r="H94" s="16"/>
      <c r="I94" s="16">
        <v>34.389566421508789</v>
      </c>
      <c r="J94" s="16"/>
      <c r="K94" s="16"/>
      <c r="L94" s="16">
        <v>38.023500442504883</v>
      </c>
      <c r="M94" s="16"/>
      <c r="N94" s="16"/>
      <c r="O94" s="16">
        <v>34.854793548583984</v>
      </c>
      <c r="P94" s="16"/>
      <c r="Q94" s="16"/>
      <c r="R94" s="16">
        <v>31.359580993652344</v>
      </c>
      <c r="S94" s="16"/>
      <c r="T94" s="16"/>
      <c r="U94" s="16">
        <v>25.452696800231934</v>
      </c>
      <c r="V94" s="16"/>
      <c r="W94" s="16"/>
      <c r="X94" s="16">
        <v>24.742486953735352</v>
      </c>
      <c r="Y94" s="16"/>
      <c r="Z94" s="16"/>
      <c r="AA94" s="16">
        <v>26.601110458374023</v>
      </c>
      <c r="AB94" s="16"/>
      <c r="AC94" s="16"/>
      <c r="AD94" s="16">
        <v>27.732075691223145</v>
      </c>
      <c r="AE94" s="16"/>
      <c r="AF94" s="16"/>
      <c r="AG94" s="9">
        <v>26.32</v>
      </c>
      <c r="AH94" s="36">
        <v>28.91</v>
      </c>
      <c r="AI94" s="105">
        <v>26.562040328979492</v>
      </c>
    </row>
    <row r="95" spans="1:35">
      <c r="A95" s="15" t="s">
        <v>21</v>
      </c>
      <c r="B95" s="15">
        <v>78</v>
      </c>
      <c r="C95" s="15" t="s">
        <v>22</v>
      </c>
      <c r="E95" s="16"/>
      <c r="F95" s="16">
        <v>31.334027290344238</v>
      </c>
      <c r="G95" s="16"/>
      <c r="H95" s="16"/>
      <c r="I95" s="16">
        <v>33.639471054077148</v>
      </c>
      <c r="J95" s="16"/>
      <c r="K95" s="16"/>
      <c r="L95" s="16">
        <v>38.006902694702148</v>
      </c>
      <c r="M95" s="16"/>
      <c r="N95" s="16"/>
      <c r="O95" s="16">
        <v>33.950174331665039</v>
      </c>
      <c r="P95" s="16"/>
      <c r="Q95" s="16"/>
      <c r="R95" s="16">
        <v>31.411953926086426</v>
      </c>
      <c r="S95" s="16"/>
      <c r="T95" s="16"/>
      <c r="U95" s="16">
        <v>26.152729988098145</v>
      </c>
      <c r="V95" s="16"/>
      <c r="W95" s="16"/>
      <c r="X95" s="16">
        <v>25.566971778869629</v>
      </c>
      <c r="Y95" s="16"/>
      <c r="Z95" s="16"/>
      <c r="AA95" s="16">
        <v>25.875887870788574</v>
      </c>
      <c r="AB95" s="16"/>
      <c r="AC95" s="16"/>
      <c r="AD95" s="16">
        <v>27.040487289428711</v>
      </c>
      <c r="AE95" s="16"/>
      <c r="AF95" s="16"/>
      <c r="AG95" s="9">
        <v>26.61</v>
      </c>
      <c r="AH95" s="36">
        <v>29.51</v>
      </c>
      <c r="AI95" s="105">
        <v>27.627856254577637</v>
      </c>
    </row>
    <row r="96" spans="1:35">
      <c r="A96" s="15" t="s">
        <v>21</v>
      </c>
      <c r="B96" s="15">
        <v>79</v>
      </c>
      <c r="C96" s="15" t="s">
        <v>22</v>
      </c>
      <c r="E96" s="16"/>
      <c r="F96" s="16">
        <v>29.462709426879883</v>
      </c>
      <c r="G96" s="16"/>
      <c r="H96" s="16"/>
      <c r="I96" s="16">
        <v>32.668100357055664</v>
      </c>
      <c r="J96" s="16"/>
      <c r="K96" s="16"/>
      <c r="L96" s="16">
        <v>37.386938095092773</v>
      </c>
      <c r="M96" s="16"/>
      <c r="N96" s="16"/>
      <c r="O96" s="16">
        <v>31.995600700378418</v>
      </c>
      <c r="P96" s="16"/>
      <c r="Q96" s="16"/>
      <c r="R96" s="16">
        <v>30.579924583435059</v>
      </c>
      <c r="S96" s="16"/>
      <c r="T96" s="16"/>
      <c r="U96" s="16">
        <v>23.265520095825195</v>
      </c>
      <c r="V96" s="16"/>
      <c r="W96" s="16"/>
      <c r="X96" s="16">
        <v>24.040387153625488</v>
      </c>
      <c r="Y96" s="16"/>
      <c r="Z96" s="16"/>
      <c r="AA96" s="16">
        <v>24.54371452331543</v>
      </c>
      <c r="AB96" s="16"/>
      <c r="AC96" s="16"/>
      <c r="AD96" s="16">
        <v>25.181882858276367</v>
      </c>
      <c r="AE96" s="16"/>
      <c r="AF96" s="16"/>
      <c r="AG96" s="9">
        <v>27.94</v>
      </c>
      <c r="AH96" s="38">
        <v>27.503037452697754</v>
      </c>
      <c r="AI96" s="105">
        <v>26.77252197265625</v>
      </c>
    </row>
    <row r="97" spans="1:35">
      <c r="A97" s="15" t="s">
        <v>21</v>
      </c>
      <c r="B97" s="15">
        <v>79</v>
      </c>
      <c r="C97" s="15" t="s">
        <v>22</v>
      </c>
      <c r="E97" s="16"/>
      <c r="F97" s="16">
        <v>30.63623046875</v>
      </c>
      <c r="G97" s="16"/>
      <c r="H97" s="16"/>
      <c r="I97" s="16">
        <v>33.35406494140625</v>
      </c>
      <c r="J97" s="16"/>
      <c r="K97" s="16"/>
      <c r="L97" s="16">
        <v>37.611684799194336</v>
      </c>
      <c r="M97" s="16"/>
      <c r="N97" s="16"/>
      <c r="O97" s="16">
        <v>33.670202255249023</v>
      </c>
      <c r="P97" s="16"/>
      <c r="Q97" s="16"/>
      <c r="R97" s="16">
        <v>31.099947929382324</v>
      </c>
      <c r="S97" s="16"/>
      <c r="T97" s="16"/>
      <c r="U97" s="16">
        <v>24.844274520874023</v>
      </c>
      <c r="V97" s="16"/>
      <c r="W97" s="16"/>
      <c r="X97" s="16">
        <v>25.384274482727051</v>
      </c>
      <c r="Y97" s="16"/>
      <c r="Z97" s="16"/>
      <c r="AA97" s="16">
        <v>25.691093444824219</v>
      </c>
      <c r="AB97" s="16"/>
      <c r="AC97" s="16"/>
      <c r="AD97" s="16">
        <v>26.634117126464844</v>
      </c>
      <c r="AE97" s="16"/>
      <c r="AF97" s="16"/>
      <c r="AG97" s="32">
        <v>27.21</v>
      </c>
      <c r="AH97" s="38">
        <v>27.795977592468262</v>
      </c>
      <c r="AI97" s="105">
        <v>27.254513740539551</v>
      </c>
    </row>
    <row r="98" spans="1:35">
      <c r="A98" s="15" t="s">
        <v>21</v>
      </c>
      <c r="B98" s="15">
        <v>79</v>
      </c>
      <c r="C98" s="15" t="s">
        <v>22</v>
      </c>
      <c r="E98" s="16"/>
      <c r="F98" s="16">
        <v>28.53412914276123</v>
      </c>
      <c r="G98" s="16"/>
      <c r="H98" s="16"/>
      <c r="I98" s="16">
        <v>32.658376693725586</v>
      </c>
      <c r="J98" s="16"/>
      <c r="K98" s="16"/>
      <c r="L98" s="16">
        <v>36.741716384887695</v>
      </c>
      <c r="M98" s="16"/>
      <c r="N98" s="16"/>
      <c r="O98" s="16">
        <v>31.562961578369141</v>
      </c>
      <c r="P98" s="16"/>
      <c r="Q98" s="16"/>
      <c r="R98" s="16">
        <v>31.27101993560791</v>
      </c>
      <c r="S98" s="16"/>
      <c r="T98" s="16"/>
      <c r="U98" s="16">
        <v>24.589537620544434</v>
      </c>
      <c r="V98" s="16"/>
      <c r="W98" s="16"/>
      <c r="X98" s="16">
        <v>25.019026756286621</v>
      </c>
      <c r="Y98" s="16"/>
      <c r="Z98" s="16"/>
      <c r="AA98" s="16">
        <v>24.131230354309082</v>
      </c>
      <c r="AB98" s="16"/>
      <c r="AC98" s="16"/>
      <c r="AD98" s="16">
        <v>24.937376976013184</v>
      </c>
      <c r="AE98" s="16"/>
      <c r="AF98" s="16"/>
      <c r="AG98" s="9">
        <v>28.65</v>
      </c>
      <c r="AH98" s="38">
        <v>27.40590763092041</v>
      </c>
      <c r="AI98" s="45">
        <v>25.712470054626465</v>
      </c>
    </row>
    <row r="99" spans="1:35">
      <c r="A99" s="15" t="s">
        <v>21</v>
      </c>
      <c r="B99" s="15">
        <v>79</v>
      </c>
      <c r="C99" s="15" t="s">
        <v>22</v>
      </c>
      <c r="E99" s="16"/>
      <c r="F99" s="16">
        <v>33.212806701660156</v>
      </c>
      <c r="G99" s="16"/>
      <c r="H99" s="16"/>
      <c r="I99" s="16">
        <v>35.954822540283203</v>
      </c>
      <c r="J99" s="16"/>
      <c r="K99" s="16"/>
      <c r="L99" s="16">
        <v>39.732629776000977</v>
      </c>
      <c r="M99" s="16"/>
      <c r="N99" s="16"/>
      <c r="O99" s="16">
        <v>36.511615753173828</v>
      </c>
      <c r="P99" s="16"/>
      <c r="Q99" s="16"/>
      <c r="R99" s="16">
        <v>34.613740921020508</v>
      </c>
      <c r="S99" s="16"/>
      <c r="T99" s="16"/>
      <c r="U99" s="16">
        <v>26.608391761779785</v>
      </c>
      <c r="V99" s="16"/>
      <c r="W99" s="16"/>
      <c r="X99" s="16">
        <v>27.647564888000488</v>
      </c>
      <c r="Y99" s="16"/>
      <c r="Z99" s="16"/>
      <c r="AA99" s="16">
        <v>26.698147773742676</v>
      </c>
      <c r="AB99" s="16"/>
      <c r="AC99" s="16"/>
      <c r="AD99" s="16">
        <v>29.133338928222656</v>
      </c>
      <c r="AE99" s="16"/>
      <c r="AF99" s="16"/>
      <c r="AG99" s="9">
        <v>27.73</v>
      </c>
      <c r="AH99" s="38">
        <v>27.386030197143555</v>
      </c>
      <c r="AI99" s="16">
        <v>26.358029365539551</v>
      </c>
    </row>
    <row r="100" spans="1:35">
      <c r="A100" s="15" t="s">
        <v>21</v>
      </c>
      <c r="B100" s="15">
        <v>79</v>
      </c>
      <c r="C100" s="15" t="s">
        <v>22</v>
      </c>
      <c r="E100" s="16"/>
      <c r="F100" s="16">
        <v>29.615959167480469</v>
      </c>
      <c r="G100" s="16"/>
      <c r="H100" s="16"/>
      <c r="I100" s="16">
        <v>33.11561393737793</v>
      </c>
      <c r="J100" s="16"/>
      <c r="K100" s="16"/>
      <c r="L100" s="16">
        <v>39.608434677124023</v>
      </c>
      <c r="M100" s="16"/>
      <c r="N100" s="16"/>
      <c r="O100" s="16">
        <v>32.673654556274414</v>
      </c>
      <c r="P100" s="16"/>
      <c r="Q100" s="16"/>
      <c r="R100" s="16">
        <v>32.136770248413086</v>
      </c>
      <c r="S100" s="16"/>
      <c r="T100" s="16"/>
      <c r="U100" s="16">
        <v>24.506311416625977</v>
      </c>
      <c r="V100" s="16"/>
      <c r="W100" s="16"/>
      <c r="X100" s="16">
        <v>25.929472923278809</v>
      </c>
      <c r="Y100" s="16"/>
      <c r="Z100" s="16"/>
      <c r="AA100" s="16">
        <v>22.428065299987793</v>
      </c>
      <c r="AB100" s="16"/>
      <c r="AC100" s="16"/>
      <c r="AD100" s="16">
        <v>25.414676666259766</v>
      </c>
      <c r="AE100" s="16"/>
      <c r="AF100" s="16"/>
      <c r="AG100" s="9">
        <v>28.15</v>
      </c>
      <c r="AH100" s="38">
        <v>27.977874755859375</v>
      </c>
      <c r="AI100" s="16">
        <v>27.330994606018066</v>
      </c>
    </row>
    <row r="101" spans="1:35">
      <c r="A101" s="15" t="s">
        <v>21</v>
      </c>
      <c r="B101" s="15">
        <v>80</v>
      </c>
      <c r="C101" s="15" t="s">
        <v>22</v>
      </c>
      <c r="E101" s="23"/>
      <c r="F101" s="23">
        <v>30.663676261901855</v>
      </c>
      <c r="G101" s="23"/>
      <c r="H101" s="23"/>
      <c r="I101" s="23">
        <v>33.083700180053711</v>
      </c>
      <c r="J101" s="23"/>
      <c r="K101" s="23"/>
      <c r="L101" s="23">
        <v>37.577608108520508</v>
      </c>
      <c r="M101" s="23"/>
      <c r="N101" s="23"/>
      <c r="O101" s="23">
        <v>33.586244583129883</v>
      </c>
      <c r="P101" s="23"/>
      <c r="Q101" s="23"/>
      <c r="R101" s="23">
        <v>32.138925552368164</v>
      </c>
      <c r="S101" s="23"/>
      <c r="T101" s="23"/>
      <c r="U101" s="23">
        <v>25.795449256896973</v>
      </c>
      <c r="V101" s="23"/>
      <c r="W101" s="23"/>
      <c r="X101" s="23">
        <v>26.218052864074707</v>
      </c>
      <c r="Y101" s="23"/>
      <c r="Z101" s="23"/>
      <c r="AA101" s="23">
        <v>25.761967658996582</v>
      </c>
      <c r="AB101" s="23"/>
      <c r="AC101" s="23"/>
      <c r="AD101" s="16">
        <v>26.643459320068359</v>
      </c>
      <c r="AE101" s="16"/>
      <c r="AF101" s="16"/>
      <c r="AG101" s="19">
        <v>26.466981887817383</v>
      </c>
      <c r="AH101" s="38">
        <v>27.782329559326172</v>
      </c>
      <c r="AI101" s="16">
        <v>26.062053680419922</v>
      </c>
    </row>
    <row r="102" spans="1:35">
      <c r="A102" s="15" t="s">
        <v>21</v>
      </c>
      <c r="B102" s="15">
        <v>80</v>
      </c>
      <c r="C102" s="15" t="s">
        <v>22</v>
      </c>
      <c r="E102" s="16"/>
      <c r="F102" s="16">
        <v>29.495944976806641</v>
      </c>
      <c r="G102" s="16"/>
      <c r="H102" s="16"/>
      <c r="I102" s="16">
        <v>33.236164093017578</v>
      </c>
      <c r="J102" s="16"/>
      <c r="K102" s="16"/>
      <c r="L102" s="16">
        <v>36.472028732299805</v>
      </c>
      <c r="M102" s="16"/>
      <c r="N102" s="16"/>
      <c r="O102" s="16">
        <v>31.4659423828125</v>
      </c>
      <c r="P102" s="16"/>
      <c r="Q102" s="16"/>
      <c r="R102" s="16">
        <v>31.032375335693359</v>
      </c>
      <c r="S102" s="16"/>
      <c r="T102" s="16"/>
      <c r="U102" s="16">
        <v>25.32456111907959</v>
      </c>
      <c r="V102" s="16"/>
      <c r="W102" s="16"/>
      <c r="X102" s="16">
        <v>25.744277954101562</v>
      </c>
      <c r="Y102" s="16"/>
      <c r="Z102" s="16"/>
      <c r="AA102" s="16">
        <v>25.291172027587891</v>
      </c>
      <c r="AB102" s="16"/>
      <c r="AC102" s="16"/>
      <c r="AD102" s="16">
        <v>26.101544380187988</v>
      </c>
      <c r="AE102" s="16"/>
      <c r="AF102" s="16"/>
      <c r="AG102" s="19">
        <v>27.463818550109863</v>
      </c>
      <c r="AH102" s="38">
        <v>26.687247276306152</v>
      </c>
      <c r="AI102" s="16">
        <v>26.32430362701416</v>
      </c>
    </row>
    <row r="103" spans="1:35">
      <c r="A103" s="15" t="s">
        <v>21</v>
      </c>
      <c r="B103" s="15">
        <v>80</v>
      </c>
      <c r="C103" s="15" t="s">
        <v>22</v>
      </c>
      <c r="E103" s="16"/>
      <c r="F103" s="16">
        <v>28.749148368835449</v>
      </c>
      <c r="G103" s="16"/>
      <c r="H103" s="16"/>
      <c r="I103" s="16">
        <v>32.237949371337891</v>
      </c>
      <c r="J103" s="16"/>
      <c r="K103" s="16"/>
      <c r="L103" s="16">
        <v>35.198535919189453</v>
      </c>
      <c r="M103" s="16"/>
      <c r="N103" s="16"/>
      <c r="O103" s="16">
        <v>30.600488662719727</v>
      </c>
      <c r="P103" s="16"/>
      <c r="Q103" s="16"/>
      <c r="R103" s="16">
        <v>29.566084861755371</v>
      </c>
      <c r="S103" s="16"/>
      <c r="T103" s="16"/>
      <c r="U103" s="16">
        <v>23.488992691040039</v>
      </c>
      <c r="V103" s="16"/>
      <c r="W103" s="16"/>
      <c r="X103" s="16">
        <v>24.282536506652832</v>
      </c>
      <c r="Y103" s="16"/>
      <c r="Z103" s="16"/>
      <c r="AA103" s="16">
        <v>24.539259910583496</v>
      </c>
      <c r="AB103" s="16"/>
      <c r="AC103" s="16"/>
      <c r="AD103" s="16">
        <v>25.225398063659668</v>
      </c>
      <c r="AE103" s="16"/>
      <c r="AF103" s="16"/>
      <c r="AG103" s="40">
        <v>25.408576965332031</v>
      </c>
      <c r="AH103" s="38">
        <v>28.320038795471191</v>
      </c>
      <c r="AI103" s="16">
        <v>25.656154632568359</v>
      </c>
    </row>
    <row r="104" spans="1:35">
      <c r="A104" s="15" t="s">
        <v>21</v>
      </c>
      <c r="B104" s="15">
        <v>80</v>
      </c>
      <c r="C104" s="15" t="s">
        <v>22</v>
      </c>
      <c r="E104" s="16"/>
      <c r="F104" s="16">
        <v>29.407758712768555</v>
      </c>
      <c r="G104" s="16"/>
      <c r="H104" s="16"/>
      <c r="I104" s="16">
        <v>31.661802291870117</v>
      </c>
      <c r="J104" s="16"/>
      <c r="K104" s="16"/>
      <c r="L104" s="16">
        <v>34.743715286254883</v>
      </c>
      <c r="M104" s="16"/>
      <c r="N104" s="16"/>
      <c r="O104" s="16">
        <v>31.575007438659668</v>
      </c>
      <c r="P104" s="16"/>
      <c r="Q104" s="16"/>
      <c r="R104" s="16">
        <v>29.71134090423584</v>
      </c>
      <c r="S104" s="16"/>
      <c r="T104" s="16"/>
      <c r="U104" s="16">
        <v>22.480995178222656</v>
      </c>
      <c r="V104" s="16"/>
      <c r="W104" s="16"/>
      <c r="X104" s="16">
        <v>23.672494888305664</v>
      </c>
      <c r="Y104" s="16"/>
      <c r="Z104" s="16"/>
      <c r="AA104" s="16">
        <v>24.905583381652832</v>
      </c>
      <c r="AB104" s="16"/>
      <c r="AC104" s="16"/>
      <c r="AD104" s="16">
        <v>25.688661575317383</v>
      </c>
      <c r="AE104" s="16"/>
      <c r="AF104" s="16"/>
      <c r="AG104" s="19">
        <v>27.184864044189453</v>
      </c>
      <c r="AH104" s="38">
        <v>27.361522674560547</v>
      </c>
      <c r="AI104" s="16">
        <v>25.908615112304688</v>
      </c>
    </row>
    <row r="105" spans="1:35">
      <c r="A105" s="15" t="s">
        <v>21</v>
      </c>
      <c r="B105" s="15">
        <v>81</v>
      </c>
      <c r="C105" s="15" t="s">
        <v>22</v>
      </c>
      <c r="E105" s="16"/>
      <c r="F105" s="16">
        <v>29.75322151184082</v>
      </c>
      <c r="G105" s="16"/>
      <c r="H105" s="16"/>
      <c r="I105" s="16">
        <v>33.09185791015625</v>
      </c>
      <c r="J105" s="16"/>
      <c r="K105" s="16"/>
      <c r="L105" s="16">
        <v>37.566448211669922</v>
      </c>
      <c r="M105" s="16"/>
      <c r="N105" s="16"/>
      <c r="O105" s="16">
        <v>31.956604957580566</v>
      </c>
      <c r="P105" s="16"/>
      <c r="Q105" s="16"/>
      <c r="R105" s="16">
        <v>32.413198471069336</v>
      </c>
      <c r="S105" s="16"/>
      <c r="T105" s="16"/>
      <c r="U105" s="16">
        <v>27.46225643157959</v>
      </c>
      <c r="V105" s="16"/>
      <c r="W105" s="16"/>
      <c r="X105" s="16">
        <v>25.837055206298828</v>
      </c>
      <c r="Y105" s="16"/>
      <c r="Z105" s="16"/>
      <c r="AA105" s="16">
        <v>25.602619171142578</v>
      </c>
      <c r="AB105" s="16"/>
      <c r="AC105" s="16"/>
      <c r="AD105" s="16">
        <v>26.516446113586426</v>
      </c>
      <c r="AE105" s="16"/>
      <c r="AF105" s="16"/>
      <c r="AG105" s="19">
        <v>27.243732452392578</v>
      </c>
      <c r="AH105" s="38">
        <v>27.430773735046387</v>
      </c>
      <c r="AI105" s="16">
        <v>26.145340919494629</v>
      </c>
    </row>
    <row r="106" spans="1:35">
      <c r="A106" s="15" t="s">
        <v>21</v>
      </c>
      <c r="B106" s="15">
        <v>81</v>
      </c>
      <c r="C106" s="15" t="s">
        <v>22</v>
      </c>
      <c r="E106" s="16"/>
      <c r="F106" s="16">
        <v>30.972352027893066</v>
      </c>
      <c r="G106" s="16"/>
      <c r="H106" s="16"/>
      <c r="I106" s="16">
        <v>32.787406921386719</v>
      </c>
      <c r="J106" s="16"/>
      <c r="K106" s="16"/>
      <c r="L106" s="16">
        <v>36.836746215820312</v>
      </c>
      <c r="M106" s="16"/>
      <c r="N106" s="16"/>
      <c r="O106" s="16">
        <v>33.253377914428711</v>
      </c>
      <c r="P106" s="16"/>
      <c r="Q106" s="16"/>
      <c r="R106" s="16">
        <v>30.905025482177734</v>
      </c>
      <c r="S106" s="16"/>
      <c r="T106" s="16"/>
      <c r="U106" s="16">
        <v>25.989726066589355</v>
      </c>
      <c r="V106" s="16"/>
      <c r="W106" s="16"/>
      <c r="X106" s="16">
        <v>25.285197257995605</v>
      </c>
      <c r="Y106" s="16"/>
      <c r="Z106" s="16"/>
      <c r="AA106" s="16">
        <v>25.840207099914551</v>
      </c>
      <c r="AB106" s="16"/>
      <c r="AC106" s="16"/>
      <c r="AD106" s="16">
        <v>26.821391105651855</v>
      </c>
      <c r="AE106" s="16"/>
      <c r="AF106" s="16"/>
      <c r="AG106" s="20">
        <v>27.153388023376465</v>
      </c>
      <c r="AH106" s="38">
        <v>26.720840454101562</v>
      </c>
      <c r="AI106" s="16">
        <v>26.383939743041992</v>
      </c>
    </row>
    <row r="107" spans="1:35">
      <c r="A107" s="15" t="s">
        <v>21</v>
      </c>
      <c r="B107" s="15">
        <v>86</v>
      </c>
      <c r="C107" s="15" t="s">
        <v>22</v>
      </c>
      <c r="E107" s="16"/>
      <c r="F107" s="16">
        <v>33.121700286865234</v>
      </c>
      <c r="G107" s="16"/>
      <c r="H107" s="16"/>
      <c r="I107" s="16">
        <v>34.896577835083008</v>
      </c>
      <c r="J107" s="16"/>
      <c r="K107" s="16"/>
      <c r="L107" s="16">
        <v>38.999176025390625</v>
      </c>
      <c r="M107" s="16"/>
      <c r="N107" s="16"/>
      <c r="O107" s="16">
        <v>36.526407241821289</v>
      </c>
      <c r="P107" s="16"/>
      <c r="Q107" s="16"/>
      <c r="R107" s="16">
        <v>30.97592830657959</v>
      </c>
      <c r="S107" s="16"/>
      <c r="T107" s="16"/>
      <c r="U107" s="16">
        <v>27.872895240783691</v>
      </c>
      <c r="V107" s="16"/>
      <c r="W107" s="16"/>
      <c r="X107" s="16">
        <v>25.665621757507324</v>
      </c>
      <c r="Y107" s="16"/>
      <c r="Z107" s="16"/>
      <c r="AA107" s="16">
        <v>27.314781188964844</v>
      </c>
      <c r="AB107" s="16"/>
      <c r="AC107" s="16"/>
      <c r="AD107" s="16">
        <v>29.496500968933105</v>
      </c>
      <c r="AE107" s="16"/>
      <c r="AF107" s="16"/>
      <c r="AG107" s="20">
        <v>27.737407684326172</v>
      </c>
      <c r="AH107" s="38">
        <v>25.764320373535156</v>
      </c>
      <c r="AI107" s="16">
        <v>26.962986946105957</v>
      </c>
    </row>
    <row r="108" spans="1:35">
      <c r="A108" s="15" t="s">
        <v>21</v>
      </c>
      <c r="B108" s="15">
        <v>86</v>
      </c>
      <c r="C108" s="15" t="s">
        <v>22</v>
      </c>
      <c r="E108" s="16"/>
      <c r="F108" s="16">
        <v>30.308712959289551</v>
      </c>
      <c r="G108" s="16"/>
      <c r="H108" s="16"/>
      <c r="I108" s="16">
        <v>31.764756202697754</v>
      </c>
      <c r="J108" s="16"/>
      <c r="K108" s="16"/>
      <c r="L108" s="16">
        <v>34.896053314208984</v>
      </c>
      <c r="M108" s="16"/>
      <c r="N108" s="16"/>
      <c r="O108" s="16">
        <v>33.11640739440918</v>
      </c>
      <c r="P108" s="16"/>
      <c r="Q108" s="16"/>
      <c r="R108" s="16">
        <v>29.257876396179199</v>
      </c>
      <c r="S108" s="16"/>
      <c r="T108" s="16"/>
      <c r="U108" s="16">
        <v>24.385160446166992</v>
      </c>
      <c r="V108" s="16"/>
      <c r="W108" s="16"/>
      <c r="X108" s="16">
        <v>24.614392280578613</v>
      </c>
      <c r="Y108" s="16"/>
      <c r="Z108" s="16"/>
      <c r="AA108" s="16">
        <v>26.131719589233398</v>
      </c>
      <c r="AB108" s="16"/>
      <c r="AC108" s="16"/>
      <c r="AD108" s="16">
        <v>26.895357131958008</v>
      </c>
      <c r="AE108" s="16"/>
      <c r="AF108" s="16"/>
      <c r="AG108" s="20">
        <v>27.854128837585449</v>
      </c>
      <c r="AH108" s="38">
        <v>25.410544395446777</v>
      </c>
      <c r="AI108" s="16">
        <v>26.1602783203125</v>
      </c>
    </row>
    <row r="109" spans="1:35">
      <c r="A109" s="15" t="s">
        <v>21</v>
      </c>
      <c r="B109" s="15">
        <v>86</v>
      </c>
      <c r="C109" s="15" t="s">
        <v>22</v>
      </c>
      <c r="E109" s="16"/>
      <c r="F109" s="16">
        <v>29.422061920166016</v>
      </c>
      <c r="G109" s="16"/>
      <c r="H109" s="16"/>
      <c r="I109" s="16">
        <v>32.158210754394531</v>
      </c>
      <c r="J109" s="16"/>
      <c r="K109" s="16"/>
      <c r="L109" s="16">
        <v>35.371438980102539</v>
      </c>
      <c r="M109" s="16"/>
      <c r="N109" s="16"/>
      <c r="O109" s="16">
        <v>32.061191558837891</v>
      </c>
      <c r="P109" s="16"/>
      <c r="Q109" s="16"/>
      <c r="R109" s="16">
        <v>29.740792274475098</v>
      </c>
      <c r="S109" s="16"/>
      <c r="T109" s="16"/>
      <c r="U109" s="16">
        <v>24.776265144348145</v>
      </c>
      <c r="V109" s="16"/>
      <c r="W109" s="16"/>
      <c r="X109" s="16">
        <v>24.236943244934082</v>
      </c>
      <c r="Y109" s="16"/>
      <c r="Z109" s="16"/>
      <c r="AA109" s="16">
        <v>25.293299674987793</v>
      </c>
      <c r="AB109" s="16"/>
      <c r="AC109" s="16"/>
      <c r="AD109" s="16">
        <v>26.005361557006836</v>
      </c>
      <c r="AE109" s="16"/>
      <c r="AF109" s="16"/>
      <c r="AG109" s="20">
        <v>27.559914588928223</v>
      </c>
      <c r="AH109" s="38">
        <v>26.933741569519043</v>
      </c>
      <c r="AI109" s="16">
        <v>26.282727241516113</v>
      </c>
    </row>
    <row r="110" spans="1:35">
      <c r="A110" s="15" t="s">
        <v>21</v>
      </c>
      <c r="B110" s="15">
        <v>86</v>
      </c>
      <c r="C110" s="15" t="s">
        <v>22</v>
      </c>
      <c r="E110" s="16"/>
      <c r="F110" s="16">
        <v>31.892631530761719</v>
      </c>
      <c r="G110" s="16"/>
      <c r="H110" s="16"/>
      <c r="I110" s="16">
        <v>32.78959846496582</v>
      </c>
      <c r="J110" s="16"/>
      <c r="K110" s="16"/>
      <c r="L110" s="16">
        <v>35.771892547607422</v>
      </c>
      <c r="M110" s="16"/>
      <c r="N110" s="16"/>
      <c r="O110" s="16">
        <v>34.165523529052734</v>
      </c>
      <c r="P110" s="16"/>
      <c r="Q110" s="16"/>
      <c r="R110" s="16">
        <v>30.785367012023926</v>
      </c>
      <c r="S110" s="16"/>
      <c r="T110" s="16"/>
      <c r="U110" s="16">
        <v>24.891719818115234</v>
      </c>
      <c r="V110" s="16"/>
      <c r="W110" s="16"/>
      <c r="X110" s="16">
        <v>25.036520957946777</v>
      </c>
      <c r="Y110" s="16"/>
      <c r="Z110" s="16"/>
      <c r="AA110" s="16">
        <v>26.566490173339844</v>
      </c>
      <c r="AB110" s="16"/>
      <c r="AC110" s="16"/>
      <c r="AD110" s="16">
        <v>28.327435493469238</v>
      </c>
      <c r="AE110" s="16"/>
      <c r="AF110" s="16"/>
      <c r="AG110" s="20">
        <v>27.561010360717773</v>
      </c>
      <c r="AH110" s="38">
        <v>27.035264015197754</v>
      </c>
      <c r="AI110" s="16">
        <v>25.505184173583984</v>
      </c>
    </row>
    <row r="111" spans="1:35">
      <c r="A111" s="15" t="s">
        <v>21</v>
      </c>
      <c r="B111" s="15">
        <v>86</v>
      </c>
      <c r="C111" s="15" t="s">
        <v>22</v>
      </c>
      <c r="E111" s="16"/>
      <c r="F111" s="16">
        <v>28.012974739074707</v>
      </c>
      <c r="G111" s="16"/>
      <c r="H111" s="16"/>
      <c r="I111" s="16">
        <v>31.877079963684082</v>
      </c>
      <c r="J111" s="16"/>
      <c r="K111" s="16"/>
      <c r="L111" s="16">
        <v>35.482463836669922</v>
      </c>
      <c r="M111" s="16"/>
      <c r="N111" s="16"/>
      <c r="O111" s="16">
        <v>30.617714881896973</v>
      </c>
      <c r="P111" s="16"/>
      <c r="Q111" s="16"/>
      <c r="R111" s="16">
        <v>31.203195571899414</v>
      </c>
      <c r="S111" s="16"/>
      <c r="T111" s="16"/>
      <c r="U111" s="16">
        <v>25.701523780822754</v>
      </c>
      <c r="V111" s="16"/>
      <c r="W111" s="16"/>
      <c r="X111" s="16">
        <v>24.494132041931152</v>
      </c>
      <c r="Y111" s="16"/>
      <c r="Z111" s="16"/>
      <c r="AA111" s="16">
        <v>23.782849311828613</v>
      </c>
      <c r="AB111" s="16"/>
      <c r="AC111" s="16"/>
      <c r="AD111" s="16">
        <v>24.490371704101562</v>
      </c>
      <c r="AE111" s="16"/>
      <c r="AF111" s="16"/>
      <c r="AG111" s="19">
        <v>27.471936225891113</v>
      </c>
      <c r="AH111" s="38">
        <v>27.296962738037109</v>
      </c>
      <c r="AI111" s="16">
        <v>27.432094573974609</v>
      </c>
    </row>
    <row r="112" spans="1:35">
      <c r="A112" s="15" t="s">
        <v>21</v>
      </c>
      <c r="B112" s="15">
        <v>88</v>
      </c>
      <c r="C112" s="15" t="s">
        <v>22</v>
      </c>
      <c r="E112" s="16"/>
      <c r="F112" s="16">
        <v>31.712201118469238</v>
      </c>
      <c r="G112" s="16"/>
      <c r="H112" s="16"/>
      <c r="I112" s="16">
        <v>34.96052360534668</v>
      </c>
      <c r="J112" s="16"/>
      <c r="K112" s="16"/>
      <c r="L112" s="16">
        <v>39.4541015625</v>
      </c>
      <c r="M112" s="16"/>
      <c r="N112" s="16"/>
      <c r="O112" s="16">
        <v>34.684263229370117</v>
      </c>
      <c r="P112" s="16"/>
      <c r="Q112" s="16"/>
      <c r="R112" s="16">
        <v>32.667976379394531</v>
      </c>
      <c r="S112" s="16"/>
      <c r="T112" s="16"/>
      <c r="U112" s="16">
        <v>27.096096992492676</v>
      </c>
      <c r="V112" s="16"/>
      <c r="W112" s="16"/>
      <c r="X112" s="16">
        <v>25.966483116149902</v>
      </c>
      <c r="Y112" s="16"/>
      <c r="Z112" s="16"/>
      <c r="AA112" s="16">
        <v>26.955236434936523</v>
      </c>
      <c r="AB112" s="16"/>
      <c r="AC112" s="16"/>
      <c r="AD112" s="16">
        <v>28.860270500183105</v>
      </c>
      <c r="AE112" s="16"/>
      <c r="AF112" s="16"/>
      <c r="AG112" s="19">
        <v>27.672981262207031</v>
      </c>
      <c r="AH112" s="38">
        <v>26.085307121276855</v>
      </c>
      <c r="AI112" s="16">
        <v>26.70714282989502</v>
      </c>
    </row>
    <row r="113" spans="1:35">
      <c r="A113" s="15" t="s">
        <v>21</v>
      </c>
      <c r="B113" s="15">
        <v>88</v>
      </c>
      <c r="C113" s="15" t="s">
        <v>22</v>
      </c>
      <c r="E113" s="16"/>
      <c r="F113" s="16">
        <v>30.24573802947998</v>
      </c>
      <c r="G113" s="16"/>
      <c r="H113" s="16"/>
      <c r="I113" s="16">
        <v>34.954616546630859</v>
      </c>
      <c r="J113" s="16"/>
      <c r="K113" s="16"/>
      <c r="L113" s="16">
        <v>39.324909210205078</v>
      </c>
      <c r="M113" s="16"/>
      <c r="N113" s="16"/>
      <c r="O113" s="16">
        <v>32.797332763671875</v>
      </c>
      <c r="P113" s="16"/>
      <c r="Q113" s="16"/>
      <c r="R113" s="16">
        <v>34.278020858764648</v>
      </c>
      <c r="S113" s="16"/>
      <c r="T113" s="16"/>
      <c r="U113" s="16">
        <v>28.13809871673584</v>
      </c>
      <c r="V113" s="16"/>
      <c r="W113" s="16"/>
      <c r="X113" s="16">
        <v>26.719878196716309</v>
      </c>
      <c r="Y113" s="16"/>
      <c r="Z113" s="16"/>
      <c r="AA113" s="16">
        <v>26.173428535461426</v>
      </c>
      <c r="AB113" s="16"/>
      <c r="AC113" s="16"/>
      <c r="AD113" s="16">
        <v>27.387805938720703</v>
      </c>
      <c r="AE113" s="16"/>
      <c r="AF113" s="16"/>
      <c r="AG113" s="9">
        <v>26.77</v>
      </c>
      <c r="AH113" s="36">
        <v>25.05</v>
      </c>
      <c r="AI113" s="16">
        <v>26.21989631652832</v>
      </c>
    </row>
    <row r="114" spans="1:35">
      <c r="A114" s="15" t="s">
        <v>21</v>
      </c>
      <c r="B114" s="15">
        <v>89</v>
      </c>
      <c r="C114" s="15" t="s">
        <v>22</v>
      </c>
      <c r="E114" s="16"/>
      <c r="F114" s="16">
        <v>29.672581672668457</v>
      </c>
      <c r="G114" s="16"/>
      <c r="H114" s="16"/>
      <c r="I114" s="16">
        <v>33.734500885009766</v>
      </c>
      <c r="J114" s="16"/>
      <c r="K114" s="16"/>
      <c r="L114" s="16">
        <v>37.082662582397461</v>
      </c>
      <c r="M114" s="16"/>
      <c r="N114" s="16"/>
      <c r="O114" s="16">
        <v>32.520700454711914</v>
      </c>
      <c r="P114" s="16"/>
      <c r="Q114" s="16"/>
      <c r="R114" s="16">
        <v>31.317476272583008</v>
      </c>
      <c r="S114" s="16"/>
      <c r="T114" s="16"/>
      <c r="U114" s="16">
        <v>24.479016304016113</v>
      </c>
      <c r="V114" s="16"/>
      <c r="W114" s="16"/>
      <c r="X114" s="16">
        <v>25.242859840393066</v>
      </c>
      <c r="Y114" s="16"/>
      <c r="Z114" s="16"/>
      <c r="AA114" s="16">
        <v>25.17503547668457</v>
      </c>
      <c r="AB114" s="16"/>
      <c r="AC114" s="16"/>
      <c r="AD114" s="16">
        <v>26.563999176025391</v>
      </c>
      <c r="AE114" s="16"/>
      <c r="AF114" s="16"/>
      <c r="AG114" s="9">
        <v>26.32</v>
      </c>
      <c r="AH114" s="36">
        <v>26.64</v>
      </c>
      <c r="AI114" s="16">
        <v>26.384949684143066</v>
      </c>
    </row>
    <row r="115" spans="1:35">
      <c r="A115" s="15" t="s">
        <v>21</v>
      </c>
      <c r="B115" s="15">
        <v>89</v>
      </c>
      <c r="C115" s="15" t="s">
        <v>22</v>
      </c>
      <c r="E115" s="16"/>
      <c r="F115" s="16">
        <v>30.229137420654297</v>
      </c>
      <c r="G115" s="16"/>
      <c r="H115" s="16"/>
      <c r="I115" s="16">
        <v>32.794898986816406</v>
      </c>
      <c r="J115" s="16"/>
      <c r="K115" s="16"/>
      <c r="L115" s="16">
        <v>37.712181091308594</v>
      </c>
      <c r="M115" s="16"/>
      <c r="N115" s="16"/>
      <c r="O115" s="16">
        <v>33.233705520629883</v>
      </c>
      <c r="P115" s="16"/>
      <c r="Q115" s="16"/>
      <c r="R115" s="16">
        <v>31.426083564758301</v>
      </c>
      <c r="S115" s="16"/>
      <c r="T115" s="16"/>
      <c r="U115" s="16">
        <v>24.775301933288574</v>
      </c>
      <c r="V115" s="16"/>
      <c r="W115" s="16"/>
      <c r="X115" s="16">
        <v>24.846384048461914</v>
      </c>
      <c r="Y115" s="16"/>
      <c r="Z115" s="16"/>
      <c r="AA115" s="16">
        <v>25.429746627807617</v>
      </c>
      <c r="AB115" s="16"/>
      <c r="AC115" s="16"/>
      <c r="AD115" s="16">
        <v>26.661054611206055</v>
      </c>
      <c r="AE115" s="16"/>
      <c r="AF115" s="16"/>
      <c r="AG115" s="9">
        <v>26.71</v>
      </c>
      <c r="AH115" s="36">
        <v>25.77</v>
      </c>
      <c r="AI115" s="16">
        <v>26.732179641723633</v>
      </c>
    </row>
    <row r="116" spans="1:35">
      <c r="A116" s="15" t="s">
        <v>21</v>
      </c>
      <c r="B116" s="15">
        <v>89</v>
      </c>
      <c r="C116" s="15" t="s">
        <v>22</v>
      </c>
      <c r="E116" s="16"/>
      <c r="F116" s="16">
        <v>28.989316940307617</v>
      </c>
      <c r="G116" s="16"/>
      <c r="H116" s="16"/>
      <c r="I116" s="16">
        <v>32.552577972412109</v>
      </c>
      <c r="J116" s="16"/>
      <c r="K116" s="16"/>
      <c r="L116" s="16">
        <v>37.133106231689453</v>
      </c>
      <c r="M116" s="16"/>
      <c r="N116" s="16"/>
      <c r="O116" s="16">
        <v>30.985072135925293</v>
      </c>
      <c r="P116" s="16"/>
      <c r="Q116" s="16"/>
      <c r="R116" s="16">
        <v>34.035009384155273</v>
      </c>
      <c r="S116" s="16"/>
      <c r="T116" s="16"/>
      <c r="U116" s="16">
        <v>30.352423667907715</v>
      </c>
      <c r="V116" s="16"/>
      <c r="W116" s="16"/>
      <c r="X116" s="16">
        <v>26.263741493225098</v>
      </c>
      <c r="Y116" s="16"/>
      <c r="Z116" s="16"/>
      <c r="AA116" s="16">
        <v>21.482681274414062</v>
      </c>
      <c r="AB116" s="16"/>
      <c r="AC116" s="16"/>
      <c r="AD116" s="16">
        <v>26.780858039855957</v>
      </c>
      <c r="AE116" s="16"/>
      <c r="AF116" s="16"/>
      <c r="AG116" s="9">
        <v>26.34</v>
      </c>
      <c r="AH116" s="36">
        <v>26.71</v>
      </c>
      <c r="AI116" s="16">
        <v>26.804103851318359</v>
      </c>
    </row>
    <row r="117" spans="1:35">
      <c r="AG117" s="9">
        <v>26.84</v>
      </c>
      <c r="AH117" s="36">
        <v>27.02</v>
      </c>
      <c r="AI117" s="23">
        <v>26.101574897766113</v>
      </c>
    </row>
    <row r="118" spans="1:35">
      <c r="AG118" s="9">
        <v>28.05</v>
      </c>
      <c r="AH118" s="38">
        <v>25.869879722595215</v>
      </c>
      <c r="AI118" s="16">
        <v>26.046394348144531</v>
      </c>
    </row>
    <row r="119" spans="1:35">
      <c r="AG119" s="32">
        <v>24.93</v>
      </c>
      <c r="AH119" s="38">
        <v>26.142746925354004</v>
      </c>
      <c r="AI119" s="16">
        <v>26.168512344360352</v>
      </c>
    </row>
    <row r="120" spans="1:35">
      <c r="AG120" s="9">
        <v>26.15</v>
      </c>
      <c r="AH120" s="38">
        <v>25.770045280456543</v>
      </c>
      <c r="AI120" s="16">
        <v>26.817532539367676</v>
      </c>
    </row>
    <row r="121" spans="1:35">
      <c r="AG121" s="9">
        <v>25.39</v>
      </c>
      <c r="AH121" s="38">
        <v>25.94147777557373</v>
      </c>
      <c r="AI121" s="16">
        <v>26.898736000061035</v>
      </c>
    </row>
    <row r="122" spans="1:35">
      <c r="AG122" s="9">
        <v>25.78</v>
      </c>
      <c r="AH122" s="38">
        <v>26.418587684631348</v>
      </c>
      <c r="AI122" s="16">
        <v>24.904994964599609</v>
      </c>
    </row>
    <row r="123" spans="1:35">
      <c r="AG123" s="19">
        <v>24.952292442321777</v>
      </c>
      <c r="AH123" s="38">
        <v>26.390216827392578</v>
      </c>
      <c r="AI123" s="16">
        <v>26.844820022583008</v>
      </c>
    </row>
    <row r="124" spans="1:35">
      <c r="AG124" s="19">
        <v>25.741019248962402</v>
      </c>
      <c r="AH124" s="38">
        <v>25.318714141845703</v>
      </c>
      <c r="AI124" s="16">
        <v>25.963101387023926</v>
      </c>
    </row>
    <row r="125" spans="1:35">
      <c r="AG125" s="40">
        <v>23.843263626098633</v>
      </c>
      <c r="AH125" s="38">
        <v>26.798751831054688</v>
      </c>
      <c r="AI125" s="16">
        <v>27.242260932922363</v>
      </c>
    </row>
    <row r="126" spans="1:35">
      <c r="AG126" s="19">
        <v>25.621913909912109</v>
      </c>
      <c r="AH126" s="38">
        <v>25.778334617614746</v>
      </c>
      <c r="AI126" s="16">
        <v>25.192290306091309</v>
      </c>
    </row>
    <row r="127" spans="1:35">
      <c r="AG127" s="19">
        <v>25.661114692687988</v>
      </c>
      <c r="AH127" s="38">
        <v>25.813763618469238</v>
      </c>
      <c r="AI127" s="16">
        <v>27.361462593078613</v>
      </c>
    </row>
    <row r="128" spans="1:35">
      <c r="AG128" s="20">
        <v>25.392183303833008</v>
      </c>
      <c r="AH128" s="38">
        <v>25.267793655395508</v>
      </c>
      <c r="AI128" s="16">
        <v>27.049966812133789</v>
      </c>
    </row>
    <row r="129" spans="33:35">
      <c r="AG129" s="20">
        <v>25.797975540161133</v>
      </c>
      <c r="AH129" s="38">
        <v>24.413813591003418</v>
      </c>
      <c r="AI129" s="16">
        <v>26.184769630432129</v>
      </c>
    </row>
    <row r="130" spans="33:35">
      <c r="AG130" s="20">
        <v>25.989492416381836</v>
      </c>
      <c r="AH130" s="38">
        <v>24.072454452514648</v>
      </c>
      <c r="AI130" s="16">
        <v>26.48967170715332</v>
      </c>
    </row>
    <row r="131" spans="33:35">
      <c r="AG131" s="20">
        <v>25.774468421936035</v>
      </c>
      <c r="AH131" s="38">
        <v>25.303689956665039</v>
      </c>
      <c r="AI131" s="16">
        <v>28.117401123046875</v>
      </c>
    </row>
    <row r="132" spans="33:35">
      <c r="AG132" s="20">
        <v>25.945954322814941</v>
      </c>
      <c r="AH132" s="38">
        <v>25.232017517089844</v>
      </c>
      <c r="AI132" s="16">
        <v>26.961641311645508</v>
      </c>
    </row>
    <row r="133" spans="33:35">
      <c r="AG133" s="19">
        <v>25.874608039855957</v>
      </c>
      <c r="AH133" s="38">
        <v>25.802491188049316</v>
      </c>
      <c r="AI133" s="16">
        <v>26.415424346923828</v>
      </c>
    </row>
    <row r="134" spans="33:35">
      <c r="AG134" s="19">
        <v>25.944517135620117</v>
      </c>
      <c r="AH134" s="38">
        <v>24.639548301696777</v>
      </c>
      <c r="AI134" s="16">
        <v>27.606196403503418</v>
      </c>
    </row>
    <row r="135" spans="33:35">
      <c r="AG135" s="9">
        <v>26.9</v>
      </c>
      <c r="AH135" s="36">
        <v>25.05</v>
      </c>
      <c r="AI135" s="16">
        <v>26.777139663696289</v>
      </c>
    </row>
    <row r="136" spans="33:35">
      <c r="AG136" s="9">
        <v>26.37</v>
      </c>
      <c r="AH136" s="36">
        <v>26.52</v>
      </c>
      <c r="AI136" s="16">
        <v>26.24757194519043</v>
      </c>
    </row>
    <row r="137" spans="33:35">
      <c r="AG137" s="9">
        <v>26.78</v>
      </c>
      <c r="AH137" s="36">
        <v>25.81</v>
      </c>
      <c r="AI137" s="16">
        <v>24.974966049194336</v>
      </c>
    </row>
    <row r="138" spans="33:35">
      <c r="AG138" s="9">
        <v>26.11</v>
      </c>
      <c r="AH138" s="36">
        <v>26.49</v>
      </c>
      <c r="AI138" s="16">
        <v>27.518898010253906</v>
      </c>
    </row>
    <row r="139" spans="33:35">
      <c r="AG139" s="9">
        <v>26.61</v>
      </c>
      <c r="AH139" s="36">
        <v>26.83</v>
      </c>
      <c r="AI139" s="16">
        <v>27.494235992431641</v>
      </c>
    </row>
    <row r="140" spans="33:35">
      <c r="AG140" s="9">
        <v>27.87</v>
      </c>
      <c r="AH140" s="38">
        <v>25.765411376953125</v>
      </c>
      <c r="AI140" s="16">
        <v>26.441934585571289</v>
      </c>
    </row>
    <row r="141" spans="33:35">
      <c r="AG141" s="32">
        <v>24.86</v>
      </c>
      <c r="AH141" s="38">
        <v>26.191648483276367</v>
      </c>
      <c r="AI141" s="16">
        <v>25.620536804199219</v>
      </c>
    </row>
    <row r="142" spans="33:35">
      <c r="AG142" s="9">
        <v>26.04</v>
      </c>
      <c r="AH142" s="38">
        <v>25.71898365020752</v>
      </c>
      <c r="AI142" s="16">
        <v>28.669870376586914</v>
      </c>
    </row>
    <row r="143" spans="33:35">
      <c r="AG143" s="9">
        <v>25.4</v>
      </c>
      <c r="AH143" s="38">
        <v>25.959006309509277</v>
      </c>
      <c r="AI143" s="32">
        <v>26</v>
      </c>
    </row>
    <row r="144" spans="33:35">
      <c r="AG144" s="9">
        <v>25.57</v>
      </c>
      <c r="AH144" s="38">
        <v>26.422135353088379</v>
      </c>
      <c r="AI144" s="12">
        <v>26.89</v>
      </c>
    </row>
    <row r="145" spans="33:35">
      <c r="AG145" s="19">
        <v>24.908100128173828</v>
      </c>
      <c r="AH145" s="38">
        <v>26.281037330627441</v>
      </c>
      <c r="AI145" s="12">
        <v>25.63</v>
      </c>
    </row>
    <row r="146" spans="33:35">
      <c r="AG146" s="19">
        <v>25.712483406066895</v>
      </c>
      <c r="AH146" s="38">
        <v>25.202993392944336</v>
      </c>
      <c r="AI146" s="12">
        <v>27.1</v>
      </c>
    </row>
    <row r="147" spans="33:35">
      <c r="AG147" s="40">
        <v>23.832247734069824</v>
      </c>
      <c r="AH147" s="38">
        <v>26.802975654602051</v>
      </c>
      <c r="AI147" s="12">
        <v>29.07</v>
      </c>
    </row>
    <row r="148" spans="33:35">
      <c r="AG148" s="19">
        <v>25.595040321350098</v>
      </c>
      <c r="AH148" s="38">
        <v>25.769420623779297</v>
      </c>
      <c r="AI148" s="12">
        <v>27.02</v>
      </c>
    </row>
    <row r="149" spans="33:35">
      <c r="AG149" s="19">
        <v>25.597918510437012</v>
      </c>
      <c r="AH149" s="38">
        <v>25.823981285095215</v>
      </c>
      <c r="AI149" s="12">
        <v>26.98</v>
      </c>
    </row>
    <row r="150" spans="33:35">
      <c r="AG150" s="20">
        <v>25.318802833557129</v>
      </c>
      <c r="AH150" s="38">
        <v>25.145330429077148</v>
      </c>
      <c r="AI150" s="12">
        <v>27.66</v>
      </c>
    </row>
    <row r="151" spans="33:35">
      <c r="AG151" s="20">
        <v>25.951647758483887</v>
      </c>
      <c r="AH151" s="38">
        <v>24.322654724121094</v>
      </c>
      <c r="AI151" s="12">
        <v>26</v>
      </c>
    </row>
    <row r="152" spans="33:35">
      <c r="AG152" s="20">
        <v>25.961677551269531</v>
      </c>
      <c r="AH152" s="38">
        <v>23.951230049133301</v>
      </c>
      <c r="AI152" s="12">
        <v>26.7</v>
      </c>
    </row>
    <row r="153" spans="33:35">
      <c r="AG153" s="20">
        <v>25.818415641784668</v>
      </c>
      <c r="AH153" s="38">
        <v>25.195716857910156</v>
      </c>
      <c r="AI153" s="16">
        <v>24.94659423828125</v>
      </c>
    </row>
    <row r="154" spans="33:35">
      <c r="AG154" s="20">
        <v>25.802404403686523</v>
      </c>
      <c r="AH154" s="38">
        <v>25.26632022857666</v>
      </c>
      <c r="AI154" s="16">
        <v>26.045433044433594</v>
      </c>
    </row>
    <row r="155" spans="33:35">
      <c r="AG155" s="19">
        <v>25.781804084777832</v>
      </c>
      <c r="AH155" s="38">
        <v>25.733043670654297</v>
      </c>
      <c r="AI155" s="16">
        <v>25.659854888916016</v>
      </c>
    </row>
    <row r="156" spans="33:35">
      <c r="AG156" s="19">
        <v>25.915143966674805</v>
      </c>
      <c r="AH156" s="38">
        <v>24.625231742858887</v>
      </c>
      <c r="AI156" s="43">
        <v>27.033048629760742</v>
      </c>
    </row>
    <row r="157" spans="33:35">
      <c r="AG157" s="9">
        <v>27.02</v>
      </c>
      <c r="AH157" s="36">
        <v>25.17</v>
      </c>
      <c r="AI157" s="16">
        <v>26.056036949157715</v>
      </c>
    </row>
    <row r="158" spans="33:35">
      <c r="AG158" s="9">
        <v>26.4</v>
      </c>
      <c r="AH158" s="36">
        <v>26.62</v>
      </c>
      <c r="AI158" s="16">
        <v>27.809292793273926</v>
      </c>
    </row>
    <row r="159" spans="33:35">
      <c r="AG159" s="9">
        <v>26.88</v>
      </c>
      <c r="AH159" s="36">
        <v>25.69</v>
      </c>
      <c r="AI159" s="16">
        <v>25.058533668518066</v>
      </c>
    </row>
    <row r="160" spans="33:35">
      <c r="AG160" s="9">
        <v>26.43</v>
      </c>
      <c r="AH160" s="36">
        <v>26.69</v>
      </c>
      <c r="AI160" s="16">
        <v>26.14593505859375</v>
      </c>
    </row>
    <row r="161" spans="33:35">
      <c r="AG161" s="9">
        <v>33.25</v>
      </c>
      <c r="AH161" s="36">
        <v>26.84</v>
      </c>
      <c r="AI161" s="16">
        <v>25.767731666564941</v>
      </c>
    </row>
    <row r="162" spans="33:35">
      <c r="AG162" s="9">
        <v>27.88</v>
      </c>
      <c r="AH162" s="38">
        <v>25.850404739379883</v>
      </c>
      <c r="AI162" s="16">
        <v>26.051166534423828</v>
      </c>
    </row>
    <row r="163" spans="33:35">
      <c r="AG163" s="32">
        <v>24.99</v>
      </c>
      <c r="AH163" s="38">
        <v>26.180964469909668</v>
      </c>
      <c r="AI163" s="105">
        <v>25.86888599395752</v>
      </c>
    </row>
    <row r="164" spans="33:35">
      <c r="AG164" s="9">
        <v>26.07</v>
      </c>
      <c r="AH164" s="38">
        <v>25.874814033508301</v>
      </c>
      <c r="AI164" s="105">
        <v>25.947539329528809</v>
      </c>
    </row>
    <row r="165" spans="33:35">
      <c r="AG165" s="9">
        <v>25.46</v>
      </c>
      <c r="AH165" s="38">
        <v>26.035388946533203</v>
      </c>
      <c r="AI165" s="105">
        <v>26.881305694580078</v>
      </c>
    </row>
    <row r="166" spans="33:35">
      <c r="AG166" s="9">
        <v>25.76</v>
      </c>
      <c r="AH166" s="38">
        <v>26.450954437255859</v>
      </c>
      <c r="AI166" s="105">
        <v>26.888137817382812</v>
      </c>
    </row>
    <row r="167" spans="33:35">
      <c r="AG167" s="19">
        <v>24.973536491394043</v>
      </c>
      <c r="AH167" s="38">
        <v>26.405971527099609</v>
      </c>
      <c r="AI167" s="105">
        <v>26.399323463439941</v>
      </c>
    </row>
    <row r="168" spans="33:35">
      <c r="AG168" s="19">
        <v>25.811493873596191</v>
      </c>
      <c r="AH168" s="38">
        <v>25.324952125549316</v>
      </c>
      <c r="AI168" s="45">
        <v>24.959626197814941</v>
      </c>
    </row>
    <row r="169" spans="33:35">
      <c r="AG169" s="40">
        <v>23.732906341552734</v>
      </c>
      <c r="AH169" s="38">
        <v>26.927122116088867</v>
      </c>
      <c r="AI169" s="16">
        <v>25.487312316894531</v>
      </c>
    </row>
    <row r="170" spans="33:35">
      <c r="AG170" s="19">
        <v>25.619454383850098</v>
      </c>
      <c r="AH170" s="38">
        <v>25.883640289306641</v>
      </c>
      <c r="AI170" s="16">
        <v>27.062657356262207</v>
      </c>
    </row>
    <row r="171" spans="33:35">
      <c r="AG171" s="19">
        <v>25.67540168762207</v>
      </c>
      <c r="AH171" s="38">
        <v>26.057320594787598</v>
      </c>
      <c r="AI171" s="16">
        <v>24.925357818603516</v>
      </c>
    </row>
    <row r="172" spans="33:35">
      <c r="AG172" s="20">
        <v>25.539905548095703</v>
      </c>
      <c r="AH172" s="38">
        <v>25.234478950500488</v>
      </c>
      <c r="AI172" s="16">
        <v>25.22010326385498</v>
      </c>
    </row>
    <row r="173" spans="33:35">
      <c r="AG173" s="20">
        <v>25.963852882385254</v>
      </c>
      <c r="AH173" s="38">
        <v>24.479971885681152</v>
      </c>
      <c r="AI173" s="16">
        <v>24.68549633026123</v>
      </c>
    </row>
    <row r="174" spans="33:35">
      <c r="AG174" s="20">
        <v>26.02918815612793</v>
      </c>
      <c r="AH174" s="38">
        <v>24.255754470825195</v>
      </c>
      <c r="AI174" s="16">
        <v>25.10069465637207</v>
      </c>
    </row>
    <row r="175" spans="33:35">
      <c r="AG175" s="20">
        <v>25.784807205200195</v>
      </c>
      <c r="AH175" s="38">
        <v>25.494996070861816</v>
      </c>
      <c r="AI175" s="16">
        <v>25.325448989868164</v>
      </c>
    </row>
    <row r="176" spans="33:35">
      <c r="AG176" s="20">
        <v>25.968847274780273</v>
      </c>
      <c r="AH176" s="38">
        <v>25.406368255615234</v>
      </c>
      <c r="AI176" s="16">
        <v>25.412293434143066</v>
      </c>
    </row>
    <row r="177" spans="33:35">
      <c r="AG177" s="19">
        <v>25.936093330383301</v>
      </c>
      <c r="AH177" s="38">
        <v>25.854182243347168</v>
      </c>
      <c r="AI177" s="16">
        <v>26.067065238952637</v>
      </c>
    </row>
    <row r="178" spans="33:35">
      <c r="AG178" s="19">
        <v>25.965847969055176</v>
      </c>
      <c r="AH178" s="38">
        <v>24.686291694641113</v>
      </c>
      <c r="AI178" s="16">
        <v>25.096908569335938</v>
      </c>
    </row>
    <row r="179" spans="33:35">
      <c r="AG179" s="9">
        <v>26.81</v>
      </c>
      <c r="AH179" s="36">
        <v>25.06</v>
      </c>
      <c r="AI179" s="16">
        <v>25.291618347167969</v>
      </c>
    </row>
    <row r="180" spans="33:35">
      <c r="AG180" s="9">
        <v>26.28</v>
      </c>
      <c r="AH180" s="36">
        <v>26.64</v>
      </c>
      <c r="AI180" s="16">
        <v>24.468635559082031</v>
      </c>
    </row>
    <row r="181" spans="33:35">
      <c r="AG181" s="9">
        <v>26.58</v>
      </c>
      <c r="AH181" s="36">
        <v>25.73</v>
      </c>
      <c r="AI181" s="16">
        <v>26.438481330871582</v>
      </c>
    </row>
    <row r="182" spans="33:35">
      <c r="AG182" s="9">
        <v>26.05</v>
      </c>
      <c r="AH182" s="36">
        <v>26.62</v>
      </c>
      <c r="AI182" s="16">
        <v>25.525618553161621</v>
      </c>
    </row>
    <row r="183" spans="33:35">
      <c r="AG183" s="9">
        <v>26.66</v>
      </c>
      <c r="AH183" s="36">
        <v>26.86</v>
      </c>
      <c r="AI183" s="16">
        <v>25.339635848999023</v>
      </c>
    </row>
    <row r="184" spans="33:35">
      <c r="AG184" s="9">
        <v>27.92</v>
      </c>
      <c r="AH184" s="38">
        <v>25.679933547973633</v>
      </c>
      <c r="AI184" s="16">
        <v>25.268697738647461</v>
      </c>
    </row>
    <row r="185" spans="33:35">
      <c r="AG185" s="32">
        <v>24.89</v>
      </c>
      <c r="AH185" s="38">
        <v>26.229273796081543</v>
      </c>
      <c r="AI185" s="16">
        <v>25.729118347167969</v>
      </c>
    </row>
    <row r="186" spans="33:35">
      <c r="AG186" s="9">
        <v>26.05</v>
      </c>
      <c r="AH186" s="38">
        <v>25.854662895202637</v>
      </c>
      <c r="AI186" s="16">
        <v>25.677643775939941</v>
      </c>
    </row>
    <row r="187" spans="33:35">
      <c r="AG187" s="9">
        <v>25.34</v>
      </c>
      <c r="AH187" s="38">
        <v>25.940237045288086</v>
      </c>
      <c r="AI187" s="23">
        <v>25.058680534362793</v>
      </c>
    </row>
    <row r="188" spans="33:35">
      <c r="AG188" s="9">
        <v>25.6</v>
      </c>
      <c r="AH188" s="38">
        <v>26.325431823730469</v>
      </c>
      <c r="AI188" s="16">
        <v>25.109705924987793</v>
      </c>
    </row>
    <row r="189" spans="33:35">
      <c r="AG189" s="19">
        <v>24.968091011047363</v>
      </c>
      <c r="AH189" s="38">
        <v>26.218827247619629</v>
      </c>
      <c r="AI189" s="16">
        <v>25.566704750061035</v>
      </c>
    </row>
    <row r="190" spans="33:35">
      <c r="AG190" s="19">
        <v>25.767212867736816</v>
      </c>
      <c r="AH190" s="38">
        <v>25.25679874420166</v>
      </c>
      <c r="AI190" s="16">
        <v>25.831515312194824</v>
      </c>
    </row>
    <row r="191" spans="33:35">
      <c r="AG191" s="40">
        <v>23.744860649108887</v>
      </c>
      <c r="AH191" s="38">
        <v>26.967155456542969</v>
      </c>
      <c r="AI191" s="16">
        <v>25.984131813049316</v>
      </c>
    </row>
    <row r="192" spans="33:35">
      <c r="AG192" s="19">
        <v>25.580392837524414</v>
      </c>
      <c r="AH192" s="38">
        <v>25.966032981872559</v>
      </c>
      <c r="AI192" s="16">
        <v>23.925862312316895</v>
      </c>
    </row>
    <row r="193" spans="33:35">
      <c r="AG193" s="19">
        <v>25.705648422241211</v>
      </c>
      <c r="AH193" s="38">
        <v>25.799295425415039</v>
      </c>
      <c r="AI193" s="16">
        <v>25.99407958984375</v>
      </c>
    </row>
    <row r="194" spans="33:35">
      <c r="AG194" s="20">
        <v>25.37672233581543</v>
      </c>
      <c r="AH194" s="38">
        <v>25.192907333374023</v>
      </c>
      <c r="AI194" s="16">
        <v>25.314987182617188</v>
      </c>
    </row>
    <row r="195" spans="33:35">
      <c r="AG195" s="20">
        <v>25.837514877319336</v>
      </c>
      <c r="AH195" s="38">
        <v>24.414936065673828</v>
      </c>
      <c r="AI195" s="16">
        <v>26.39357852935791</v>
      </c>
    </row>
    <row r="196" spans="33:35">
      <c r="AG196" s="20">
        <v>25.737720489501953</v>
      </c>
      <c r="AH196" s="38">
        <v>23.954986572265625</v>
      </c>
      <c r="AI196" s="16">
        <v>24.734127998352051</v>
      </c>
    </row>
    <row r="197" spans="33:35">
      <c r="AG197" s="20">
        <v>25.606204032897949</v>
      </c>
      <c r="AH197" s="38">
        <v>25.317648887634277</v>
      </c>
      <c r="AI197" s="16">
        <v>26.579165458679199</v>
      </c>
    </row>
    <row r="198" spans="33:35">
      <c r="AG198" s="20">
        <v>25.975388526916504</v>
      </c>
      <c r="AH198" s="38">
        <v>25.389430999755859</v>
      </c>
      <c r="AI198" s="16">
        <v>26.172940254211426</v>
      </c>
    </row>
    <row r="199" spans="33:35">
      <c r="AG199" s="19">
        <v>25.785976409912109</v>
      </c>
      <c r="AH199" s="38">
        <v>25.66313648223877</v>
      </c>
      <c r="AI199" s="16">
        <v>25.284558296203613</v>
      </c>
    </row>
    <row r="200" spans="33:35">
      <c r="AG200" s="19">
        <v>25.861982345581055</v>
      </c>
      <c r="AH200" s="38">
        <v>24.549422264099121</v>
      </c>
      <c r="AI200" s="16">
        <v>26.042512893676758</v>
      </c>
    </row>
    <row r="201" spans="33:35">
      <c r="AI201" s="16">
        <v>27.500782012939453</v>
      </c>
    </row>
    <row r="202" spans="33:35">
      <c r="AI202" s="16">
        <v>26.023260116577148</v>
      </c>
    </row>
    <row r="203" spans="33:35">
      <c r="AI203" s="16">
        <v>25.836047172546387</v>
      </c>
    </row>
    <row r="204" spans="33:35">
      <c r="AI204" s="16">
        <v>26.909378051757812</v>
      </c>
    </row>
    <row r="205" spans="33:35">
      <c r="AI205" s="16">
        <v>25.907210350036621</v>
      </c>
    </row>
    <row r="206" spans="33:35">
      <c r="AI206" s="16">
        <v>25.180452346801758</v>
      </c>
    </row>
    <row r="207" spans="33:35">
      <c r="AI207" s="16">
        <v>24.37877368927002</v>
      </c>
    </row>
    <row r="208" spans="33:35">
      <c r="AI208" s="16">
        <v>26.567360877990723</v>
      </c>
    </row>
    <row r="209" spans="35:35">
      <c r="AI209" s="16">
        <v>26.784426689147949</v>
      </c>
    </row>
    <row r="210" spans="35:35">
      <c r="AI210" s="16">
        <v>25.308919906616211</v>
      </c>
    </row>
    <row r="211" spans="35:35">
      <c r="AI211" s="16">
        <v>24.546710014343262</v>
      </c>
    </row>
    <row r="212" spans="35:35">
      <c r="AI212" s="16">
        <v>29.794229507446289</v>
      </c>
    </row>
    <row r="213" spans="35:35">
      <c r="AI213" s="32">
        <v>26.16</v>
      </c>
    </row>
    <row r="214" spans="35:35">
      <c r="AI214" s="12">
        <v>27.19</v>
      </c>
    </row>
    <row r="215" spans="35:35">
      <c r="AI215" s="12">
        <v>25.73</v>
      </c>
    </row>
    <row r="216" spans="35:35">
      <c r="AI216" s="12">
        <v>27.4</v>
      </c>
    </row>
    <row r="217" spans="35:35">
      <c r="AI217" s="12">
        <v>30.78</v>
      </c>
    </row>
    <row r="218" spans="35:35">
      <c r="AI218" s="12">
        <v>27</v>
      </c>
    </row>
    <row r="219" spans="35:35">
      <c r="AI219" s="12">
        <v>27.14</v>
      </c>
    </row>
    <row r="220" spans="35:35">
      <c r="AI220" s="12">
        <v>27.67</v>
      </c>
    </row>
    <row r="221" spans="35:35">
      <c r="AI221" s="12">
        <v>26.27</v>
      </c>
    </row>
    <row r="222" spans="35:35">
      <c r="AI222" s="12">
        <v>27.03</v>
      </c>
    </row>
    <row r="223" spans="35:35">
      <c r="AI223" s="16">
        <v>25.702566146850586</v>
      </c>
    </row>
    <row r="224" spans="35:35">
      <c r="AI224" s="16">
        <v>26.694962501525879</v>
      </c>
    </row>
    <row r="225" spans="35:35">
      <c r="AI225" s="16">
        <v>26.266777038574219</v>
      </c>
    </row>
    <row r="226" spans="35:35">
      <c r="AI226" s="43">
        <v>26.932591438293457</v>
      </c>
    </row>
    <row r="227" spans="35:35">
      <c r="AI227" s="16">
        <v>26.848450660705566</v>
      </c>
    </row>
    <row r="228" spans="35:35">
      <c r="AI228" s="16">
        <v>27.876277923583984</v>
      </c>
    </row>
    <row r="229" spans="35:35">
      <c r="AI229" s="16">
        <v>25.287683486938477</v>
      </c>
    </row>
    <row r="230" spans="35:35">
      <c r="AI230" s="16">
        <v>26.679010391235352</v>
      </c>
    </row>
    <row r="231" spans="35:35">
      <c r="AI231" s="16">
        <v>26.171638488769531</v>
      </c>
    </row>
    <row r="232" spans="35:35">
      <c r="AI232" s="16">
        <v>26.499506950378418</v>
      </c>
    </row>
    <row r="233" spans="35:35">
      <c r="AI233" s="105">
        <v>26.115120887756348</v>
      </c>
    </row>
    <row r="234" spans="35:35">
      <c r="AI234" s="105">
        <v>26.209284782409668</v>
      </c>
    </row>
    <row r="235" spans="35:35">
      <c r="AI235" s="105">
        <v>27.104691505432129</v>
      </c>
    </row>
    <row r="236" spans="35:35">
      <c r="AI236" s="105">
        <v>26.741901397705078</v>
      </c>
    </row>
    <row r="237" spans="35:35">
      <c r="AI237" s="105">
        <v>26.77394962310791</v>
      </c>
    </row>
    <row r="238" spans="35:35">
      <c r="AI238" s="45">
        <v>25.709494590759277</v>
      </c>
    </row>
    <row r="239" spans="35:35">
      <c r="AI239" s="16">
        <v>26.141465187072754</v>
      </c>
    </row>
    <row r="240" spans="35:35">
      <c r="AI240" s="16">
        <v>26.818587303161621</v>
      </c>
    </row>
    <row r="241" spans="35:35">
      <c r="AI241" s="16">
        <v>25.750293731689453</v>
      </c>
    </row>
    <row r="242" spans="35:35">
      <c r="AI242" s="16">
        <v>25.710417747497559</v>
      </c>
    </row>
    <row r="243" spans="35:35">
      <c r="AI243" s="16">
        <v>25.296838760375977</v>
      </c>
    </row>
    <row r="244" spans="35:35">
      <c r="AI244" s="16">
        <v>25.602199554443359</v>
      </c>
    </row>
    <row r="245" spans="35:35">
      <c r="AI245" s="16">
        <v>25.804950714111328</v>
      </c>
    </row>
    <row r="246" spans="35:35">
      <c r="AI246" s="16">
        <v>25.85853099822998</v>
      </c>
    </row>
    <row r="247" spans="35:35">
      <c r="AI247" s="16">
        <v>26.448375701904297</v>
      </c>
    </row>
    <row r="248" spans="35:35">
      <c r="AI248" s="16">
        <v>25.636412620544434</v>
      </c>
    </row>
    <row r="249" spans="35:35">
      <c r="AI249" s="16">
        <v>25.909629821777344</v>
      </c>
    </row>
    <row r="250" spans="35:35">
      <c r="AI250" s="16">
        <v>25.363142967224121</v>
      </c>
    </row>
    <row r="251" spans="35:35">
      <c r="AI251" s="16">
        <v>26.947299957275391</v>
      </c>
    </row>
    <row r="252" spans="35:35">
      <c r="AI252" s="16">
        <v>26.194774627685547</v>
      </c>
    </row>
    <row r="253" spans="35:35">
      <c r="AI253" s="16">
        <v>25.744035720825195</v>
      </c>
    </row>
    <row r="254" spans="35:35">
      <c r="AI254" s="16">
        <v>25.957880020141602</v>
      </c>
    </row>
    <row r="255" spans="35:35">
      <c r="AI255" s="16">
        <v>26.121026992797852</v>
      </c>
    </row>
    <row r="256" spans="35:35">
      <c r="AI256" s="16">
        <v>26.440237045288086</v>
      </c>
    </row>
    <row r="257" spans="35:35">
      <c r="AI257" s="23">
        <v>25.789234161376953</v>
      </c>
    </row>
    <row r="258" spans="35:35">
      <c r="AI258" s="16">
        <v>25.78154182434082</v>
      </c>
    </row>
    <row r="259" spans="35:35">
      <c r="AI259" s="16">
        <v>25.904403686523438</v>
      </c>
    </row>
    <row r="260" spans="35:35">
      <c r="AI260" s="16">
        <v>26.209623336791992</v>
      </c>
    </row>
    <row r="261" spans="35:35">
      <c r="AI261" s="16">
        <v>26.499512672424316</v>
      </c>
    </row>
    <row r="262" spans="35:35">
      <c r="AI262" s="16">
        <v>24.518239974975586</v>
      </c>
    </row>
    <row r="263" spans="35:35">
      <c r="AI263" s="16">
        <v>26.510470390319824</v>
      </c>
    </row>
    <row r="264" spans="35:35">
      <c r="AI264" s="16">
        <v>25.803528785705566</v>
      </c>
    </row>
    <row r="265" spans="35:35">
      <c r="AI265" s="16">
        <v>27.172492027282715</v>
      </c>
    </row>
    <row r="266" spans="35:35">
      <c r="AI266" s="16">
        <v>25.617541313171387</v>
      </c>
    </row>
    <row r="267" spans="35:35">
      <c r="AI267" s="16">
        <v>27.064212799072266</v>
      </c>
    </row>
    <row r="268" spans="35:35">
      <c r="AI268" s="16">
        <v>26.786463737487793</v>
      </c>
    </row>
    <row r="269" spans="35:35">
      <c r="AI269" s="16">
        <v>25.76119327545166</v>
      </c>
    </row>
    <row r="270" spans="35:35">
      <c r="AI270" s="16">
        <v>25.953098297119141</v>
      </c>
    </row>
    <row r="271" spans="35:35">
      <c r="AI271" s="16">
        <v>27.864261627197266</v>
      </c>
    </row>
    <row r="272" spans="35:35">
      <c r="AI272" s="16">
        <v>26.50202465057373</v>
      </c>
    </row>
    <row r="273" spans="35:35">
      <c r="AI273" s="16">
        <v>25.962066650390625</v>
      </c>
    </row>
    <row r="274" spans="35:35">
      <c r="AI274" s="16">
        <v>26.922468185424805</v>
      </c>
    </row>
    <row r="275" spans="35:35">
      <c r="AI275" s="16">
        <v>26.184195518493652</v>
      </c>
    </row>
    <row r="276" spans="35:35">
      <c r="AI276" s="16">
        <v>25.876102447509766</v>
      </c>
    </row>
    <row r="277" spans="35:35">
      <c r="AI277" s="16">
        <v>24.797652244567871</v>
      </c>
    </row>
    <row r="278" spans="35:35">
      <c r="AI278" s="16">
        <v>26.964866638183594</v>
      </c>
    </row>
    <row r="279" spans="35:35">
      <c r="AI279" s="16">
        <v>27.165315628051758</v>
      </c>
    </row>
    <row r="280" spans="35:35">
      <c r="AI280" s="16">
        <v>25.955435752868652</v>
      </c>
    </row>
    <row r="281" spans="35:35">
      <c r="AI281" s="16">
        <v>25.154550552368164</v>
      </c>
    </row>
    <row r="282" spans="35:35">
      <c r="AI282" s="16">
        <v>29.707615852355957</v>
      </c>
    </row>
    <row r="283" spans="35:35">
      <c r="AI283" s="32">
        <v>27.57</v>
      </c>
    </row>
    <row r="284" spans="35:35">
      <c r="AI284" s="12">
        <v>28.65</v>
      </c>
    </row>
    <row r="285" spans="35:35">
      <c r="AI285" s="12">
        <v>27.14</v>
      </c>
    </row>
    <row r="286" spans="35:35">
      <c r="AI286" s="12">
        <v>28.94</v>
      </c>
    </row>
    <row r="287" spans="35:35">
      <c r="AI287" s="12">
        <v>30.63</v>
      </c>
    </row>
    <row r="288" spans="35:35">
      <c r="AI288" s="12">
        <v>28.97</v>
      </c>
    </row>
    <row r="289" spans="35:35">
      <c r="AI289" s="12">
        <v>29.54</v>
      </c>
    </row>
    <row r="290" spans="35:35">
      <c r="AI290" s="12">
        <v>29.82</v>
      </c>
    </row>
    <row r="291" spans="35:35">
      <c r="AI291" s="12">
        <v>28.26</v>
      </c>
    </row>
    <row r="292" spans="35:35">
      <c r="AI292" s="12">
        <v>28.85</v>
      </c>
    </row>
    <row r="293" spans="35:35">
      <c r="AI293" s="16">
        <v>27.576513290405273</v>
      </c>
    </row>
    <row r="294" spans="35:35">
      <c r="AI294" s="16">
        <v>28.744147300720215</v>
      </c>
    </row>
    <row r="295" spans="35:35">
      <c r="AI295" s="16">
        <v>28.57346248626709</v>
      </c>
    </row>
    <row r="296" spans="35:35">
      <c r="AI296" s="43">
        <v>28.761073112487793</v>
      </c>
    </row>
    <row r="297" spans="35:35">
      <c r="AI297" s="16">
        <v>28.826680183410645</v>
      </c>
    </row>
    <row r="298" spans="35:35">
      <c r="AI298" s="16">
        <v>30.711934089660645</v>
      </c>
    </row>
    <row r="299" spans="35:35">
      <c r="AI299" s="16">
        <v>27.916190147399902</v>
      </c>
    </row>
    <row r="300" spans="35:35">
      <c r="AI300" s="16">
        <v>28.973058700561523</v>
      </c>
    </row>
    <row r="301" spans="35:35">
      <c r="AI301" s="16">
        <v>28.657876968383789</v>
      </c>
    </row>
    <row r="302" spans="35:35">
      <c r="AI302" s="16">
        <v>28.700529098510742</v>
      </c>
    </row>
    <row r="303" spans="35:35">
      <c r="AI303" s="105">
        <v>28.723435401916504</v>
      </c>
    </row>
    <row r="304" spans="35:35">
      <c r="AI304" s="105">
        <v>28.422743797302246</v>
      </c>
    </row>
    <row r="305" spans="35:35">
      <c r="AI305" s="105">
        <v>29.627935409545898</v>
      </c>
    </row>
    <row r="306" spans="35:35">
      <c r="AI306" s="105">
        <v>28.812609672546387</v>
      </c>
    </row>
    <row r="307" spans="35:35">
      <c r="AI307" s="105">
        <v>29.462189674377441</v>
      </c>
    </row>
    <row r="308" spans="35:35">
      <c r="AI308" s="45">
        <v>27.363626480102539</v>
      </c>
    </row>
    <row r="309" spans="35:35">
      <c r="AI309" s="16">
        <v>28.246155738830566</v>
      </c>
    </row>
    <row r="310" spans="35:35">
      <c r="AI310" s="16">
        <v>29.364565849304199</v>
      </c>
    </row>
    <row r="311" spans="35:35">
      <c r="AI311" s="16">
        <v>27.684612274169922</v>
      </c>
    </row>
    <row r="312" spans="35:35">
      <c r="AI312" s="16">
        <v>28.008183479309082</v>
      </c>
    </row>
    <row r="313" spans="35:35">
      <c r="AI313" s="16">
        <v>27.551358222961426</v>
      </c>
    </row>
    <row r="314" spans="35:35">
      <c r="AI314" s="16">
        <v>27.943819999694824</v>
      </c>
    </row>
    <row r="315" spans="35:35">
      <c r="AI315" s="16">
        <v>28.10106086730957</v>
      </c>
    </row>
    <row r="316" spans="35:35">
      <c r="AI316" s="16">
        <v>28.265158653259277</v>
      </c>
    </row>
    <row r="317" spans="35:35">
      <c r="AI317" s="16">
        <v>29.021658897399902</v>
      </c>
    </row>
    <row r="318" spans="35:35">
      <c r="AI318" s="16">
        <v>28.195376396179199</v>
      </c>
    </row>
    <row r="319" spans="35:35">
      <c r="AI319" s="16">
        <v>28.220803260803223</v>
      </c>
    </row>
    <row r="320" spans="35:35">
      <c r="AI320" s="16">
        <v>27.449424743652344</v>
      </c>
    </row>
    <row r="321" spans="35:35">
      <c r="AI321" s="16">
        <v>29.347429275512695</v>
      </c>
    </row>
    <row r="322" spans="35:35">
      <c r="AI322" s="16">
        <v>28.533699989318848</v>
      </c>
    </row>
    <row r="323" spans="35:35">
      <c r="AI323" s="16">
        <v>28.108107566833496</v>
      </c>
    </row>
    <row r="324" spans="35:35">
      <c r="AI324" s="16">
        <v>28.316652297973633</v>
      </c>
    </row>
    <row r="325" spans="35:35">
      <c r="AI325" s="16">
        <v>28.642152786254883</v>
      </c>
    </row>
    <row r="326" spans="35:35">
      <c r="AI326" s="16">
        <v>28.622756958007812</v>
      </c>
    </row>
    <row r="327" spans="35:35">
      <c r="AI327" s="23">
        <v>27.941974639892578</v>
      </c>
    </row>
    <row r="328" spans="35:35">
      <c r="AI328" s="16">
        <v>27.996731758117676</v>
      </c>
    </row>
    <row r="329" spans="35:35">
      <c r="AI329" s="16">
        <v>28.17974853515625</v>
      </c>
    </row>
    <row r="330" spans="35:35">
      <c r="AI330" s="16">
        <v>28.583782196044922</v>
      </c>
    </row>
    <row r="331" spans="35:35">
      <c r="AI331" s="16">
        <v>28.767959594726562</v>
      </c>
    </row>
    <row r="332" spans="35:35">
      <c r="AI332" s="16">
        <v>26.594034194946289</v>
      </c>
    </row>
    <row r="333" spans="35:35">
      <c r="AI333" s="16">
        <v>29.191937446594238</v>
      </c>
    </row>
    <row r="334" spans="35:35">
      <c r="AI334" s="16">
        <v>28.346531867980957</v>
      </c>
    </row>
    <row r="335" spans="35:35">
      <c r="AI335" s="16">
        <v>29.591161727905273</v>
      </c>
    </row>
    <row r="336" spans="35:35">
      <c r="AI336" s="16">
        <v>27.793721199035645</v>
      </c>
    </row>
    <row r="337" spans="35:35">
      <c r="AI337" s="16">
        <v>29.700656890869141</v>
      </c>
    </row>
    <row r="338" spans="35:35">
      <c r="AI338" s="16">
        <v>28.903518676757812</v>
      </c>
    </row>
    <row r="339" spans="35:35">
      <c r="AI339" s="16">
        <v>27.984987258911133</v>
      </c>
    </row>
    <row r="340" spans="35:35">
      <c r="AI340" s="16">
        <v>28.414133071899414</v>
      </c>
    </row>
    <row r="341" spans="35:35">
      <c r="AI341" s="16">
        <v>30.130324363708496</v>
      </c>
    </row>
    <row r="342" spans="35:35">
      <c r="AI342" s="16">
        <v>28.851534843444824</v>
      </c>
    </row>
    <row r="343" spans="35:35">
      <c r="AI343" s="16">
        <v>27.974127769470215</v>
      </c>
    </row>
    <row r="344" spans="35:35">
      <c r="AI344" s="16">
        <v>29.516383171081543</v>
      </c>
    </row>
    <row r="345" spans="35:35">
      <c r="AI345" s="16">
        <v>28.647014617919922</v>
      </c>
    </row>
    <row r="346" spans="35:35">
      <c r="AI346" s="16">
        <v>27.95671272277832</v>
      </c>
    </row>
    <row r="347" spans="35:35">
      <c r="AI347" s="16">
        <v>26.870535850524902</v>
      </c>
    </row>
    <row r="348" spans="35:35">
      <c r="AI348" s="16">
        <v>29.430658340454102</v>
      </c>
    </row>
    <row r="349" spans="35:35">
      <c r="AI349" s="16">
        <v>29.402429580688477</v>
      </c>
    </row>
    <row r="350" spans="35:35">
      <c r="AI350" s="16">
        <v>28.273919105529785</v>
      </c>
    </row>
    <row r="351" spans="35:35">
      <c r="AI351" s="16">
        <v>27.182987213134766</v>
      </c>
    </row>
    <row r="352" spans="35:35">
      <c r="AI352" s="16">
        <v>32.675991058349609</v>
      </c>
    </row>
    <row r="353" spans="35:35">
      <c r="AI353" s="32">
        <v>25.19</v>
      </c>
    </row>
    <row r="354" spans="35:35">
      <c r="AI354" s="12">
        <v>26.27</v>
      </c>
    </row>
    <row r="355" spans="35:35">
      <c r="AI355" s="12">
        <v>24.75</v>
      </c>
    </row>
    <row r="356" spans="35:35">
      <c r="AI356" s="12">
        <v>25.97</v>
      </c>
    </row>
    <row r="357" spans="35:35">
      <c r="AI357" s="12">
        <v>27.75</v>
      </c>
    </row>
    <row r="358" spans="35:35">
      <c r="AI358" s="12">
        <v>26.52</v>
      </c>
    </row>
    <row r="359" spans="35:35">
      <c r="AI359" s="12">
        <v>26.85</v>
      </c>
    </row>
    <row r="360" spans="35:35">
      <c r="AI360" s="12">
        <v>27.17</v>
      </c>
    </row>
    <row r="361" spans="35:35">
      <c r="AI361" s="12">
        <v>25.96</v>
      </c>
    </row>
    <row r="362" spans="35:35">
      <c r="AI362" s="12">
        <v>26.31</v>
      </c>
    </row>
    <row r="363" spans="35:35">
      <c r="AI363" s="16">
        <v>25.988544464111328</v>
      </c>
    </row>
    <row r="364" spans="35:35">
      <c r="AI364" s="16">
        <v>27.133004188537598</v>
      </c>
    </row>
    <row r="365" spans="35:35">
      <c r="AI365" s="16">
        <v>26.916661262512207</v>
      </c>
    </row>
    <row r="366" spans="35:35">
      <c r="AI366" s="43">
        <v>26.979401588439941</v>
      </c>
    </row>
    <row r="367" spans="35:35">
      <c r="AI367" s="16">
        <v>27.085169792175293</v>
      </c>
    </row>
    <row r="368" spans="35:35">
      <c r="AI368" s="16">
        <v>28.864825248718262</v>
      </c>
    </row>
    <row r="369" spans="35:35">
      <c r="AI369" s="16">
        <v>26.011377334594727</v>
      </c>
    </row>
    <row r="370" spans="35:35">
      <c r="AI370" s="16">
        <v>27.16057014465332</v>
      </c>
    </row>
    <row r="371" spans="35:35">
      <c r="AI371" s="16">
        <v>26.774868011474609</v>
      </c>
    </row>
    <row r="372" spans="35:35">
      <c r="AI372" s="16">
        <v>26.828054428100586</v>
      </c>
    </row>
    <row r="373" spans="35:35">
      <c r="AI373" s="105">
        <v>26.963815689086914</v>
      </c>
    </row>
    <row r="374" spans="35:35">
      <c r="AI374" s="105">
        <v>26.544922828674316</v>
      </c>
    </row>
    <row r="375" spans="35:35">
      <c r="AI375" s="105">
        <v>27.895230293273926</v>
      </c>
    </row>
    <row r="376" spans="35:35">
      <c r="AI376" s="105">
        <v>26.989950180053711</v>
      </c>
    </row>
    <row r="377" spans="35:35">
      <c r="AI377" s="105">
        <v>27.515898704528809</v>
      </c>
    </row>
    <row r="378" spans="35:35">
      <c r="AI378" s="45">
        <v>25.720576286315918</v>
      </c>
    </row>
    <row r="379" spans="35:35">
      <c r="AI379" s="16">
        <v>26.480616569519043</v>
      </c>
    </row>
    <row r="380" spans="35:35">
      <c r="AI380" s="16">
        <v>27.569543838500977</v>
      </c>
    </row>
    <row r="381" spans="35:35">
      <c r="AI381" s="16">
        <v>26.056604385375977</v>
      </c>
    </row>
    <row r="382" spans="35:35">
      <c r="AI382" s="16">
        <v>26.382791519165039</v>
      </c>
    </row>
    <row r="383" spans="35:35">
      <c r="AI383" s="16">
        <v>25.82374382019043</v>
      </c>
    </row>
    <row r="384" spans="35:35">
      <c r="AI384" s="16">
        <v>26.136731147766113</v>
      </c>
    </row>
    <row r="385" spans="35:35">
      <c r="AI385" s="16">
        <v>26.469904899597168</v>
      </c>
    </row>
    <row r="386" spans="35:35">
      <c r="AI386" s="16">
        <v>26.532026290893555</v>
      </c>
    </row>
    <row r="387" spans="35:35">
      <c r="AI387" s="16">
        <v>27.12675666809082</v>
      </c>
    </row>
    <row r="388" spans="35:35">
      <c r="AI388" s="16">
        <v>26.278775215148926</v>
      </c>
    </row>
    <row r="389" spans="35:35">
      <c r="AI389" s="16">
        <v>26.587909698486328</v>
      </c>
    </row>
    <row r="390" spans="35:35">
      <c r="AI390" s="16">
        <v>25.725214004516602</v>
      </c>
    </row>
    <row r="391" spans="35:35">
      <c r="AI391" s="16">
        <v>27.616907119750977</v>
      </c>
    </row>
    <row r="392" spans="35:35">
      <c r="AI392" s="16">
        <v>26.696857452392578</v>
      </c>
    </row>
    <row r="393" spans="35:35">
      <c r="AI393" s="16">
        <v>26.308089256286621</v>
      </c>
    </row>
    <row r="394" spans="35:35">
      <c r="AI394" s="16">
        <v>26.463837623596191</v>
      </c>
    </row>
    <row r="395" spans="35:35">
      <c r="AI395" s="16">
        <v>26.907784461975098</v>
      </c>
    </row>
    <row r="396" spans="35:35">
      <c r="AI396" s="16">
        <v>26.918867111206055</v>
      </c>
    </row>
    <row r="397" spans="35:35">
      <c r="AI397" s="23">
        <v>26.173456192016602</v>
      </c>
    </row>
    <row r="398" spans="35:35">
      <c r="AI398" s="16">
        <v>26.12214469909668</v>
      </c>
    </row>
    <row r="399" spans="35:35">
      <c r="AI399" s="16">
        <v>26.480562210083008</v>
      </c>
    </row>
    <row r="400" spans="35:35">
      <c r="AI400" s="16">
        <v>26.851966857910156</v>
      </c>
    </row>
    <row r="401" spans="35:35">
      <c r="AI401" s="16">
        <v>27.007255554199219</v>
      </c>
    </row>
    <row r="402" spans="35:35">
      <c r="AI402" s="16">
        <v>24.965904235839844</v>
      </c>
    </row>
    <row r="403" spans="35:35">
      <c r="AI403" s="16">
        <v>26.94694995880127</v>
      </c>
    </row>
    <row r="404" spans="35:35">
      <c r="AI404" s="16">
        <v>26.116565704345703</v>
      </c>
    </row>
    <row r="405" spans="35:35">
      <c r="AI405" s="16">
        <v>27.295108795166016</v>
      </c>
    </row>
    <row r="406" spans="35:35">
      <c r="AI406" s="16">
        <v>25.723370552062988</v>
      </c>
    </row>
    <row r="407" spans="35:35">
      <c r="AI407" s="16">
        <v>27.459466934204102</v>
      </c>
    </row>
    <row r="408" spans="35:35">
      <c r="AI408" s="16">
        <v>27.299921035766602</v>
      </c>
    </row>
    <row r="409" spans="35:35">
      <c r="AI409" s="16">
        <v>26.337285041809082</v>
      </c>
    </row>
    <row r="410" spans="35:35">
      <c r="AI410" s="16">
        <v>26.821245193481445</v>
      </c>
    </row>
    <row r="411" spans="35:35">
      <c r="AI411" s="16">
        <v>28.517661094665527</v>
      </c>
    </row>
    <row r="412" spans="35:35">
      <c r="AI412" s="16">
        <v>27.085982322692871</v>
      </c>
    </row>
    <row r="413" spans="35:35">
      <c r="AI413" s="16">
        <v>26.449548721313477</v>
      </c>
    </row>
    <row r="414" spans="35:35">
      <c r="AI414" s="16">
        <v>27.763928413391113</v>
      </c>
    </row>
    <row r="415" spans="35:35">
      <c r="AI415" s="16">
        <v>26.940296173095703</v>
      </c>
    </row>
    <row r="416" spans="35:35">
      <c r="AI416" s="16">
        <v>26.194029808044434</v>
      </c>
    </row>
    <row r="417" spans="35:35">
      <c r="AI417" s="16">
        <v>25.02413272857666</v>
      </c>
    </row>
    <row r="418" spans="35:35">
      <c r="AI418" s="16">
        <v>27.562983512878418</v>
      </c>
    </row>
    <row r="419" spans="35:35">
      <c r="AI419" s="16">
        <v>27.544928550720215</v>
      </c>
    </row>
    <row r="420" spans="35:35">
      <c r="AI420" s="16">
        <v>26.53745174407959</v>
      </c>
    </row>
    <row r="421" spans="35:35">
      <c r="AI421" s="16">
        <v>25.677406311035156</v>
      </c>
    </row>
    <row r="422" spans="35:35">
      <c r="AI422" s="16">
        <v>30.418071746826172</v>
      </c>
    </row>
    <row r="423" spans="35:35">
      <c r="AI423" s="32">
        <v>25.01</v>
      </c>
    </row>
    <row r="424" spans="35:35">
      <c r="AI424" s="12">
        <v>26.09</v>
      </c>
    </row>
    <row r="425" spans="35:35">
      <c r="AI425" s="12">
        <v>24.7</v>
      </c>
    </row>
    <row r="426" spans="35:35">
      <c r="AI426" s="12">
        <v>26.17</v>
      </c>
    </row>
    <row r="427" spans="35:35">
      <c r="AI427" s="12">
        <v>27.79</v>
      </c>
    </row>
    <row r="428" spans="35:35">
      <c r="AI428" s="12">
        <v>26.4</v>
      </c>
    </row>
    <row r="429" spans="35:35">
      <c r="AI429" s="12">
        <v>26.65</v>
      </c>
    </row>
    <row r="430" spans="35:35">
      <c r="AI430" s="12">
        <v>27.01</v>
      </c>
    </row>
    <row r="431" spans="35:35">
      <c r="AI431" s="12">
        <v>25.88</v>
      </c>
    </row>
    <row r="432" spans="35:35">
      <c r="AI432" s="12">
        <v>26.37</v>
      </c>
    </row>
    <row r="433" spans="35:35">
      <c r="AI433" s="16">
        <v>25.95435619354248</v>
      </c>
    </row>
    <row r="434" spans="35:35">
      <c r="AI434" s="16">
        <v>27.012598991394043</v>
      </c>
    </row>
    <row r="435" spans="35:35">
      <c r="AI435" s="16">
        <v>26.918875694274902</v>
      </c>
    </row>
    <row r="436" spans="35:35">
      <c r="AI436" s="43">
        <v>27.03752613067627</v>
      </c>
    </row>
    <row r="437" spans="35:35">
      <c r="AI437" s="16">
        <v>27.06486988067627</v>
      </c>
    </row>
    <row r="438" spans="35:35">
      <c r="AI438" s="16">
        <v>28.750565528869629</v>
      </c>
    </row>
    <row r="439" spans="35:35">
      <c r="AI439" s="16">
        <v>26.001930236816406</v>
      </c>
    </row>
    <row r="440" spans="35:35">
      <c r="AI440" s="16">
        <v>27.07334041595459</v>
      </c>
    </row>
    <row r="441" spans="35:35">
      <c r="AI441" s="16">
        <v>26.777454376220703</v>
      </c>
    </row>
    <row r="442" spans="35:35">
      <c r="AI442" s="16">
        <v>26.866228103637695</v>
      </c>
    </row>
    <row r="443" spans="35:35">
      <c r="AI443" s="105">
        <v>26.923057556152344</v>
      </c>
    </row>
    <row r="444" spans="35:35">
      <c r="AI444" s="105">
        <v>26.601813316345215</v>
      </c>
    </row>
    <row r="445" spans="35:35">
      <c r="AI445" s="105">
        <v>27.892437934875488</v>
      </c>
    </row>
    <row r="446" spans="35:35">
      <c r="AI446" s="105">
        <v>26.949934959411621</v>
      </c>
    </row>
    <row r="447" spans="35:35">
      <c r="AI447" s="105">
        <v>27.518310546875</v>
      </c>
    </row>
    <row r="448" spans="35:35">
      <c r="AI448" s="45">
        <v>25.610898017883301</v>
      </c>
    </row>
    <row r="449" spans="35:35">
      <c r="AI449" s="16">
        <v>26.575625419616699</v>
      </c>
    </row>
    <row r="450" spans="35:35">
      <c r="AI450" s="16">
        <v>27.49260425567627</v>
      </c>
    </row>
    <row r="451" spans="35:35">
      <c r="AI451" s="16">
        <v>26.098408699035645</v>
      </c>
    </row>
    <row r="452" spans="35:35">
      <c r="AI452" s="16">
        <v>26.306090354919434</v>
      </c>
    </row>
    <row r="453" spans="35:35">
      <c r="AI453" s="16">
        <v>25.711677551269531</v>
      </c>
    </row>
    <row r="454" spans="35:35">
      <c r="AI454" s="16">
        <v>26.054805755615234</v>
      </c>
    </row>
    <row r="455" spans="35:35">
      <c r="AI455" s="16">
        <v>26.299251556396484</v>
      </c>
    </row>
    <row r="456" spans="35:35">
      <c r="AI456" s="16">
        <v>26.372133255004883</v>
      </c>
    </row>
    <row r="457" spans="35:35">
      <c r="AI457" s="16">
        <v>27.046176910400391</v>
      </c>
    </row>
    <row r="458" spans="35:35">
      <c r="AI458" s="16">
        <v>26.262474060058594</v>
      </c>
    </row>
    <row r="459" spans="35:35">
      <c r="AI459" s="16">
        <v>26.374734878540039</v>
      </c>
    </row>
    <row r="460" spans="35:35">
      <c r="AI460" s="16">
        <v>25.744060516357422</v>
      </c>
    </row>
    <row r="461" spans="35:35">
      <c r="AI461" s="16">
        <v>27.526005744934082</v>
      </c>
    </row>
    <row r="462" spans="35:35">
      <c r="AI462" s="16">
        <v>26.676873207092285</v>
      </c>
    </row>
    <row r="463" spans="35:35">
      <c r="AI463" s="16">
        <v>26.255157470703125</v>
      </c>
    </row>
    <row r="464" spans="35:35">
      <c r="AI464" s="16">
        <v>26.381952285766602</v>
      </c>
    </row>
    <row r="465" spans="35:35">
      <c r="AI465" s="16">
        <v>26.946256637573242</v>
      </c>
    </row>
    <row r="466" spans="35:35">
      <c r="AI466" s="16">
        <v>26.84058952331543</v>
      </c>
    </row>
    <row r="467" spans="35:35">
      <c r="AI467" s="23">
        <v>26.088592529296875</v>
      </c>
    </row>
    <row r="468" spans="35:35">
      <c r="AI468" s="16">
        <v>26.004366874694824</v>
      </c>
    </row>
    <row r="469" spans="35:35">
      <c r="AI469" s="16">
        <v>26.570085525512695</v>
      </c>
    </row>
    <row r="470" spans="35:35">
      <c r="AI470" s="16">
        <v>26.856749534606934</v>
      </c>
    </row>
    <row r="471" spans="35:35">
      <c r="AI471" s="16">
        <v>26.969813346862793</v>
      </c>
    </row>
    <row r="472" spans="35:35">
      <c r="AI472" s="16">
        <v>24.945425033569336</v>
      </c>
    </row>
    <row r="473" spans="35:35">
      <c r="AI473" s="16">
        <v>26.956859588623047</v>
      </c>
    </row>
    <row r="474" spans="35:35">
      <c r="AI474" s="16">
        <v>26.158647537231445</v>
      </c>
    </row>
    <row r="475" spans="35:35">
      <c r="AI475" s="16">
        <v>27.317411422729492</v>
      </c>
    </row>
    <row r="476" spans="35:35">
      <c r="AI476" s="16">
        <v>25.804987907409668</v>
      </c>
    </row>
    <row r="477" spans="35:35">
      <c r="AI477" s="16">
        <v>27.518471717834473</v>
      </c>
    </row>
    <row r="478" spans="35:35">
      <c r="AI478" s="16">
        <v>27.340609550476074</v>
      </c>
    </row>
    <row r="479" spans="35:35">
      <c r="AI479" s="16">
        <v>26.394511222839355</v>
      </c>
    </row>
    <row r="480" spans="35:35">
      <c r="AI480" s="16">
        <v>26.818918228149414</v>
      </c>
    </row>
    <row r="481" spans="35:35">
      <c r="AI481" s="16">
        <v>28.579584121704102</v>
      </c>
    </row>
    <row r="482" spans="35:35">
      <c r="AI482" s="16">
        <v>27.043713569641113</v>
      </c>
    </row>
    <row r="483" spans="35:35">
      <c r="AI483" s="16">
        <v>26.386905670166016</v>
      </c>
    </row>
    <row r="484" spans="35:35">
      <c r="AI484" s="16">
        <v>27.72772216796875</v>
      </c>
    </row>
    <row r="485" spans="35:35">
      <c r="AI485" s="16">
        <v>26.923244476318359</v>
      </c>
    </row>
    <row r="486" spans="35:35">
      <c r="AI486" s="16">
        <v>26.20649242401123</v>
      </c>
    </row>
    <row r="487" spans="35:35">
      <c r="AI487" s="16">
        <v>25.048629760742188</v>
      </c>
    </row>
    <row r="488" spans="35:35">
      <c r="AI488" s="16">
        <v>27.378293991088867</v>
      </c>
    </row>
    <row r="489" spans="35:35">
      <c r="AI489" s="16">
        <v>27.604161262512207</v>
      </c>
    </row>
    <row r="490" spans="35:35">
      <c r="AI490" s="16">
        <v>26.480889320373535</v>
      </c>
    </row>
    <row r="491" spans="35:35">
      <c r="AI491" s="16">
        <v>25.616722106933594</v>
      </c>
    </row>
    <row r="492" spans="35:35">
      <c r="AI492" s="16">
        <v>30.820921897888184</v>
      </c>
    </row>
    <row r="493" spans="35:35">
      <c r="AI493" s="32">
        <v>25.16</v>
      </c>
    </row>
    <row r="494" spans="35:35">
      <c r="AI494" s="12">
        <v>25.84</v>
      </c>
    </row>
    <row r="495" spans="35:35">
      <c r="AI495" s="12">
        <v>24.93</v>
      </c>
    </row>
    <row r="496" spans="35:35">
      <c r="AI496" s="12">
        <v>25.66</v>
      </c>
    </row>
    <row r="497" spans="35:35">
      <c r="AI497" s="12">
        <v>27.4</v>
      </c>
    </row>
    <row r="498" spans="35:35">
      <c r="AI498" s="12">
        <v>26.3</v>
      </c>
    </row>
    <row r="499" spans="35:35">
      <c r="AI499" s="12">
        <v>26.78</v>
      </c>
    </row>
    <row r="500" spans="35:35">
      <c r="AI500" s="12">
        <v>26.77</v>
      </c>
    </row>
    <row r="501" spans="35:35">
      <c r="AI501" s="12">
        <v>26.01</v>
      </c>
    </row>
    <row r="502" spans="35:35">
      <c r="AI502" s="12">
        <v>26.06</v>
      </c>
    </row>
    <row r="503" spans="35:35">
      <c r="AI503" s="16">
        <v>26.061099052429199</v>
      </c>
    </row>
    <row r="504" spans="35:35">
      <c r="AI504" s="16">
        <v>27.108510971069336</v>
      </c>
    </row>
    <row r="505" spans="35:35">
      <c r="AI505" s="16">
        <v>26.959295272827148</v>
      </c>
    </row>
    <row r="506" spans="35:35">
      <c r="AI506" s="43">
        <v>26.962040901184082</v>
      </c>
    </row>
    <row r="507" spans="35:35">
      <c r="AI507" s="16">
        <v>27.098247528076172</v>
      </c>
    </row>
    <row r="508" spans="35:35">
      <c r="AI508" s="16">
        <v>28.471607208251953</v>
      </c>
    </row>
    <row r="509" spans="35:35">
      <c r="AI509" s="16">
        <v>25.871405601501465</v>
      </c>
    </row>
    <row r="510" spans="35:35">
      <c r="AI510" s="16">
        <v>26.448197364807129</v>
      </c>
    </row>
    <row r="511" spans="35:35">
      <c r="AI511" s="16">
        <v>26.670974731445312</v>
      </c>
    </row>
    <row r="512" spans="35:35">
      <c r="AI512" s="16">
        <v>26.909868240356445</v>
      </c>
    </row>
    <row r="513" spans="35:35">
      <c r="AI513" s="105">
        <v>26.958831787109375</v>
      </c>
    </row>
    <row r="514" spans="35:35">
      <c r="AI514" s="105">
        <v>26.673598289489746</v>
      </c>
    </row>
    <row r="515" spans="35:35">
      <c r="AI515" s="105">
        <v>27.522777557373047</v>
      </c>
    </row>
    <row r="516" spans="35:35">
      <c r="AI516" s="105">
        <v>26.798020362854004</v>
      </c>
    </row>
    <row r="517" spans="35:35">
      <c r="AI517" s="105">
        <v>27.261868476867676</v>
      </c>
    </row>
    <row r="518" spans="35:35">
      <c r="AI518" s="45">
        <v>25.896997451782227</v>
      </c>
    </row>
    <row r="519" spans="35:35">
      <c r="AI519" s="16">
        <v>26.564373016357422</v>
      </c>
    </row>
    <row r="520" spans="35:35">
      <c r="AI520" s="16">
        <v>27.245692253112793</v>
      </c>
    </row>
    <row r="521" spans="35:35">
      <c r="AI521" s="16">
        <v>26.152683258056641</v>
      </c>
    </row>
    <row r="522" spans="35:35">
      <c r="AI522" s="16">
        <v>26.360630035400391</v>
      </c>
    </row>
    <row r="523" spans="35:35">
      <c r="AI523" s="16">
        <v>25.799346923828125</v>
      </c>
    </row>
    <row r="524" spans="35:35">
      <c r="AI524" s="16">
        <v>25.78764820098877</v>
      </c>
    </row>
    <row r="525" spans="35:35">
      <c r="AI525" s="16">
        <v>26.222582817077637</v>
      </c>
    </row>
    <row r="526" spans="35:35">
      <c r="AI526" s="16">
        <v>26.540383338928223</v>
      </c>
    </row>
    <row r="527" spans="35:35">
      <c r="AI527" s="16">
        <v>26.903800010681152</v>
      </c>
    </row>
    <row r="528" spans="35:35">
      <c r="AI528" s="16">
        <v>26.370641708374023</v>
      </c>
    </row>
    <row r="529" spans="35:35">
      <c r="AI529" s="16">
        <v>26.581405639648438</v>
      </c>
    </row>
    <row r="530" spans="35:35">
      <c r="AI530" s="16">
        <v>25.707457542419434</v>
      </c>
    </row>
    <row r="531" spans="35:35">
      <c r="AI531" s="16">
        <v>27.619265556335449</v>
      </c>
    </row>
    <row r="532" spans="35:35">
      <c r="AI532" s="16">
        <v>26.777939796447754</v>
      </c>
    </row>
    <row r="533" spans="35:35">
      <c r="AI533" s="16">
        <v>26.421102523803711</v>
      </c>
    </row>
    <row r="534" spans="35:35">
      <c r="AI534" s="16">
        <v>26.531739234924316</v>
      </c>
    </row>
    <row r="535" spans="35:35">
      <c r="AI535" s="16">
        <v>26.966367721557617</v>
      </c>
    </row>
    <row r="536" spans="35:35">
      <c r="AI536" s="16">
        <v>26.964386940002441</v>
      </c>
    </row>
    <row r="537" spans="35:35">
      <c r="AI537" s="23">
        <v>26.219967842102051</v>
      </c>
    </row>
    <row r="538" spans="35:35">
      <c r="AI538" s="16">
        <v>26.102852821350098</v>
      </c>
    </row>
    <row r="539" spans="35:35">
      <c r="AI539" s="16">
        <v>26.137828826904297</v>
      </c>
    </row>
    <row r="540" spans="35:35">
      <c r="AI540" s="16">
        <v>26.886000633239746</v>
      </c>
    </row>
    <row r="541" spans="35:35">
      <c r="AI541" s="16">
        <v>26.991971015930176</v>
      </c>
    </row>
    <row r="542" spans="35:35">
      <c r="AI542" s="16">
        <v>24.98065185546875</v>
      </c>
    </row>
    <row r="543" spans="35:35">
      <c r="AI543" s="16">
        <v>26.921858787536621</v>
      </c>
    </row>
    <row r="544" spans="35:35">
      <c r="AI544" s="16">
        <v>25.874367713928223</v>
      </c>
    </row>
    <row r="545" spans="35:35">
      <c r="AI545" s="16">
        <v>27.420886039733887</v>
      </c>
    </row>
    <row r="546" spans="35:35">
      <c r="AI546" s="16">
        <v>25.653286933898926</v>
      </c>
    </row>
    <row r="547" spans="35:35">
      <c r="AI547" s="16">
        <v>27.378620147705078</v>
      </c>
    </row>
    <row r="548" spans="35:35">
      <c r="AI548" s="16">
        <v>27.09000301361084</v>
      </c>
    </row>
    <row r="549" spans="35:35">
      <c r="AI549" s="16">
        <v>26.09124755859375</v>
      </c>
    </row>
    <row r="550" spans="35:35">
      <c r="AI550" s="16">
        <v>26.611191749572754</v>
      </c>
    </row>
    <row r="551" spans="35:35">
      <c r="AI551" s="16">
        <v>28.06233024597168</v>
      </c>
    </row>
    <row r="552" spans="35:35">
      <c r="AI552" s="16">
        <v>27.022563934326172</v>
      </c>
    </row>
    <row r="553" spans="35:35">
      <c r="AI553" s="16">
        <v>26.497135162353516</v>
      </c>
    </row>
    <row r="554" spans="35:35">
      <c r="AI554" s="16">
        <v>27.488715171813965</v>
      </c>
    </row>
    <row r="555" spans="35:35">
      <c r="AI555" s="16">
        <v>26.686908721923828</v>
      </c>
    </row>
    <row r="556" spans="35:35">
      <c r="AI556" s="16">
        <v>26.232865333557129</v>
      </c>
    </row>
    <row r="557" spans="35:35">
      <c r="AI557" s="16">
        <v>24.904837608337402</v>
      </c>
    </row>
    <row r="558" spans="35:35">
      <c r="AI558" s="16">
        <v>27.523138999938965</v>
      </c>
    </row>
    <row r="559" spans="35:35">
      <c r="AI559" s="16">
        <v>27.360048294067383</v>
      </c>
    </row>
    <row r="560" spans="35:35">
      <c r="AI560" s="16">
        <v>26.244926452636719</v>
      </c>
    </row>
    <row r="561" spans="35:35">
      <c r="AI561" s="16">
        <v>25.584815979003906</v>
      </c>
    </row>
    <row r="562" spans="35:35">
      <c r="AI562" s="16">
        <v>29.65910530090332</v>
      </c>
    </row>
    <row r="563" spans="35:35">
      <c r="AI563" s="32">
        <v>25.12</v>
      </c>
    </row>
    <row r="564" spans="35:35">
      <c r="AI564" s="12">
        <v>25.96</v>
      </c>
    </row>
    <row r="565" spans="35:35">
      <c r="AI565" s="12">
        <v>24.76</v>
      </c>
    </row>
    <row r="566" spans="35:35">
      <c r="AI566" s="12">
        <v>26</v>
      </c>
    </row>
    <row r="567" spans="35:35">
      <c r="AI567" s="12">
        <v>27.73</v>
      </c>
    </row>
    <row r="568" spans="35:35">
      <c r="AI568" s="12">
        <v>26.44</v>
      </c>
    </row>
    <row r="569" spans="35:35">
      <c r="AI569" s="12">
        <v>26.79</v>
      </c>
    </row>
    <row r="570" spans="35:35">
      <c r="AI570" s="12">
        <v>26.95</v>
      </c>
    </row>
    <row r="571" spans="35:35">
      <c r="AI571" s="12">
        <v>25.94</v>
      </c>
    </row>
    <row r="572" spans="35:35">
      <c r="AI572" s="12">
        <v>26.26</v>
      </c>
    </row>
    <row r="573" spans="35:35">
      <c r="AI573" s="16">
        <v>25.939413070678711</v>
      </c>
    </row>
    <row r="574" spans="35:35">
      <c r="AI574" s="16">
        <v>26.987540245056152</v>
      </c>
    </row>
    <row r="575" spans="35:35">
      <c r="AI575" s="16">
        <v>26.85655403137207</v>
      </c>
    </row>
    <row r="576" spans="35:35">
      <c r="AI576" s="43">
        <v>27.146992683410645</v>
      </c>
    </row>
    <row r="577" spans="35:35">
      <c r="AI577" s="16">
        <v>27.202700614929199</v>
      </c>
    </row>
    <row r="578" spans="35:35">
      <c r="AI578" s="16">
        <v>28.823869705200195</v>
      </c>
    </row>
    <row r="579" spans="35:35">
      <c r="AI579" s="16">
        <v>25.954428672790527</v>
      </c>
    </row>
    <row r="580" spans="35:35">
      <c r="AI580" s="16">
        <v>26.99288272857666</v>
      </c>
    </row>
    <row r="581" spans="35:35">
      <c r="AI581" s="16">
        <v>26.665067672729492</v>
      </c>
    </row>
    <row r="582" spans="35:35">
      <c r="AI582" s="16">
        <v>27.009469032287598</v>
      </c>
    </row>
    <row r="583" spans="35:35">
      <c r="AI583" s="17">
        <v>26.946592330932617</v>
      </c>
    </row>
    <row r="584" spans="35:35">
      <c r="AI584" s="17">
        <v>26.659738540649414</v>
      </c>
    </row>
    <row r="585" spans="35:35">
      <c r="AI585" s="17">
        <v>27.667021751403809</v>
      </c>
    </row>
    <row r="586" spans="35:35">
      <c r="AI586" s="17">
        <v>26.944404602050781</v>
      </c>
    </row>
    <row r="587" spans="35:35">
      <c r="AI587" s="17">
        <v>27.537884712219238</v>
      </c>
    </row>
    <row r="588" spans="35:35">
      <c r="AI588" s="45">
        <v>25.67729377746582</v>
      </c>
    </row>
    <row r="589" spans="35:35">
      <c r="AI589" s="16">
        <v>26.582432746887207</v>
      </c>
    </row>
    <row r="590" spans="35:35">
      <c r="AI590" s="16">
        <v>27.409426689147949</v>
      </c>
    </row>
    <row r="591" spans="35:35">
      <c r="AI591" s="16">
        <v>26.103172302246094</v>
      </c>
    </row>
    <row r="592" spans="35:35">
      <c r="AI592" s="16">
        <v>26.384809494018555</v>
      </c>
    </row>
    <row r="593" spans="35:35">
      <c r="AI593" s="16">
        <v>25.84620189666748</v>
      </c>
    </row>
    <row r="594" spans="35:35">
      <c r="AI594" s="16">
        <v>26.038908004760742</v>
      </c>
    </row>
    <row r="595" spans="35:35">
      <c r="AI595" s="16">
        <v>26.251979827880859</v>
      </c>
    </row>
    <row r="596" spans="35:35">
      <c r="AI596" s="16">
        <v>26.40933895111084</v>
      </c>
    </row>
    <row r="597" spans="35:35">
      <c r="AI597" s="16">
        <v>27.23673152923584</v>
      </c>
    </row>
    <row r="598" spans="35:35">
      <c r="AI598" s="16">
        <v>26.33084774017334</v>
      </c>
    </row>
    <row r="599" spans="35:35">
      <c r="AI599" s="16">
        <v>26.402435302734375</v>
      </c>
    </row>
    <row r="600" spans="35:35">
      <c r="AI600" s="16">
        <v>25.573418617248535</v>
      </c>
    </row>
    <row r="601" spans="35:35">
      <c r="AI601" s="16">
        <v>27.584223747253418</v>
      </c>
    </row>
    <row r="602" spans="35:35">
      <c r="AI602" s="16">
        <v>26.869993209838867</v>
      </c>
    </row>
    <row r="603" spans="35:35">
      <c r="AI603" s="16">
        <v>26.287972450256348</v>
      </c>
    </row>
    <row r="604" spans="35:35">
      <c r="AI604" s="16">
        <v>26.387680053710938</v>
      </c>
    </row>
    <row r="605" spans="35:35">
      <c r="AI605" s="16">
        <v>26.767035484313965</v>
      </c>
    </row>
    <row r="606" spans="35:35">
      <c r="AI606" s="16">
        <v>26.925631523132324</v>
      </c>
    </row>
    <row r="607" spans="35:35">
      <c r="AI607" s="23">
        <v>26.315637588500977</v>
      </c>
    </row>
    <row r="608" spans="35:35">
      <c r="AI608" s="16">
        <v>27.009445190429688</v>
      </c>
    </row>
    <row r="609" spans="35:35">
      <c r="AI609" s="16">
        <v>26.481058120727539</v>
      </c>
    </row>
    <row r="610" spans="35:35">
      <c r="AI610" s="16">
        <v>26.839048385620117</v>
      </c>
    </row>
    <row r="611" spans="35:35">
      <c r="AI611" s="16">
        <v>27.017863273620605</v>
      </c>
    </row>
    <row r="612" spans="35:35">
      <c r="AI612" s="16">
        <v>25.025562286376953</v>
      </c>
    </row>
    <row r="613" spans="35:35">
      <c r="AI613" s="16">
        <v>26.903937339782715</v>
      </c>
    </row>
    <row r="614" spans="35:35">
      <c r="AI614" s="16">
        <v>26.029900550842285</v>
      </c>
    </row>
    <row r="615" spans="35:35">
      <c r="AI615" s="16">
        <v>27.163358688354492</v>
      </c>
    </row>
    <row r="616" spans="35:35">
      <c r="AI616" s="16">
        <v>25.649614334106445</v>
      </c>
    </row>
    <row r="617" spans="35:35">
      <c r="AI617" s="16">
        <v>27.527919769287109</v>
      </c>
    </row>
    <row r="618" spans="35:35">
      <c r="AI618" s="16">
        <v>27.344646453857422</v>
      </c>
    </row>
    <row r="619" spans="35:35">
      <c r="AI619" s="16">
        <v>26.271930694580078</v>
      </c>
    </row>
    <row r="620" spans="35:35">
      <c r="AI620" s="16">
        <v>26.576994895935059</v>
      </c>
    </row>
    <row r="621" spans="35:35">
      <c r="AI621" s="16">
        <v>28.44895076751709</v>
      </c>
    </row>
    <row r="622" spans="35:35">
      <c r="AI622" s="16">
        <v>27.15701961517334</v>
      </c>
    </row>
    <row r="623" spans="35:35">
      <c r="AI623" s="16">
        <v>26.512008666992188</v>
      </c>
    </row>
    <row r="624" spans="35:35">
      <c r="AI624" s="16">
        <v>27.632967948913574</v>
      </c>
    </row>
    <row r="625" spans="35:35">
      <c r="AI625" s="16">
        <v>26.860984802246094</v>
      </c>
    </row>
    <row r="626" spans="35:35">
      <c r="AI626" s="16">
        <v>26.227645874023438</v>
      </c>
    </row>
    <row r="627" spans="35:35">
      <c r="AI627" s="16">
        <v>25.185965538024902</v>
      </c>
    </row>
    <row r="628" spans="35:35">
      <c r="AI628" s="16">
        <v>27.930058479309082</v>
      </c>
    </row>
    <row r="629" spans="35:35">
      <c r="AI629" s="16">
        <v>27.57879638671875</v>
      </c>
    </row>
    <row r="630" spans="35:35">
      <c r="AI630" s="16">
        <v>26.369638442993164</v>
      </c>
    </row>
    <row r="631" spans="35:35">
      <c r="AI631" s="16">
        <v>25.551692962646484</v>
      </c>
    </row>
    <row r="632" spans="35:35">
      <c r="AI632" s="16">
        <v>30.402401924133301</v>
      </c>
    </row>
  </sheetData>
  <sortState xmlns:xlrd2="http://schemas.microsoft.com/office/spreadsheetml/2017/richdata2" ref="A3:AG46">
    <sortCondition ref="A3:A46"/>
  </sortState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73C4-D110-8941-96DF-89500BD398EE}">
  <dimension ref="A1:O115"/>
  <sheetViews>
    <sheetView topLeftCell="A4" workbookViewId="0">
      <selection activeCell="P31" sqref="P31"/>
    </sheetView>
  </sheetViews>
  <sheetFormatPr baseColWidth="10" defaultRowHeight="18"/>
  <cols>
    <col min="1" max="1" width="6.140625" style="10" bestFit="1" customWidth="1"/>
    <col min="2" max="2" width="13.85546875" style="10" bestFit="1" customWidth="1"/>
  </cols>
  <sheetData>
    <row r="1" spans="1:15">
      <c r="A1" s="1"/>
      <c r="B1" s="48" t="s">
        <v>43</v>
      </c>
      <c r="C1" s="49" t="s">
        <v>44</v>
      </c>
      <c r="D1" s="49" t="s">
        <v>16</v>
      </c>
    </row>
    <row r="2" spans="1:15">
      <c r="A2" s="8"/>
      <c r="B2" s="50">
        <v>1.6</v>
      </c>
      <c r="C2" s="51">
        <v>79.099999999999994</v>
      </c>
      <c r="D2" s="52"/>
    </row>
    <row r="3" spans="1:15">
      <c r="A3" s="8"/>
      <c r="B3" s="50">
        <v>1</v>
      </c>
      <c r="C3" s="51">
        <v>63.5</v>
      </c>
      <c r="D3" s="50">
        <v>92.6</v>
      </c>
    </row>
    <row r="4" spans="1:15">
      <c r="A4" s="8"/>
      <c r="B4" s="50">
        <v>1.2</v>
      </c>
      <c r="C4" s="51">
        <v>17</v>
      </c>
      <c r="D4" s="50">
        <v>97.3</v>
      </c>
    </row>
    <row r="5" spans="1:15">
      <c r="A5" s="8"/>
      <c r="B5" s="50">
        <v>0.7</v>
      </c>
      <c r="C5" s="51">
        <v>26.9</v>
      </c>
      <c r="D5" s="50">
        <v>99.9</v>
      </c>
    </row>
    <row r="6" spans="1:15">
      <c r="A6" s="8"/>
      <c r="B6" s="50">
        <v>1.5</v>
      </c>
      <c r="C6" s="51">
        <v>51.8</v>
      </c>
      <c r="D6" s="50">
        <v>100</v>
      </c>
    </row>
    <row r="7" spans="1:15">
      <c r="A7" s="8"/>
      <c r="B7" s="50">
        <v>2.2999999999999998</v>
      </c>
      <c r="C7" s="51">
        <v>2.1</v>
      </c>
      <c r="D7" s="50">
        <v>97.6</v>
      </c>
    </row>
    <row r="8" spans="1:15">
      <c r="A8" s="31"/>
      <c r="B8" s="52">
        <v>68.2</v>
      </c>
      <c r="C8" s="51">
        <v>2</v>
      </c>
      <c r="D8" s="50">
        <v>99.5</v>
      </c>
    </row>
    <row r="9" spans="1:15">
      <c r="A9" s="8"/>
      <c r="B9" s="50">
        <v>20.6</v>
      </c>
      <c r="C9" s="51">
        <v>28.3</v>
      </c>
      <c r="D9" s="50">
        <v>99.8</v>
      </c>
    </row>
    <row r="10" spans="1:15">
      <c r="A10" s="8"/>
      <c r="B10" s="50">
        <v>21.7</v>
      </c>
      <c r="C10" s="51">
        <v>14</v>
      </c>
      <c r="D10" s="50">
        <v>49</v>
      </c>
    </row>
    <row r="11" spans="1:15">
      <c r="A11" s="8"/>
      <c r="B11" s="50">
        <v>15.8</v>
      </c>
      <c r="C11" s="51">
        <v>48</v>
      </c>
      <c r="D11" s="50">
        <v>97.4</v>
      </c>
    </row>
    <row r="12" spans="1:15">
      <c r="A12" s="8"/>
      <c r="B12" s="50">
        <v>36.1</v>
      </c>
      <c r="C12" s="51">
        <v>70.400000000000006</v>
      </c>
      <c r="D12" s="50">
        <v>79</v>
      </c>
    </row>
    <row r="13" spans="1:15">
      <c r="A13" s="8"/>
      <c r="B13" s="50">
        <v>43.2</v>
      </c>
      <c r="C13" s="51">
        <v>29.3</v>
      </c>
      <c r="D13" s="50">
        <v>78.8</v>
      </c>
    </row>
    <row r="14" spans="1:15">
      <c r="A14" s="28"/>
      <c r="B14" s="53">
        <v>57.4</v>
      </c>
      <c r="C14" s="51">
        <v>49.3</v>
      </c>
      <c r="D14" s="50">
        <v>90</v>
      </c>
      <c r="O14">
        <v>38000</v>
      </c>
    </row>
    <row r="15" spans="1:15">
      <c r="A15" s="8"/>
      <c r="B15" s="50">
        <v>29.4</v>
      </c>
      <c r="C15" s="51">
        <v>33.4</v>
      </c>
      <c r="D15" s="52"/>
      <c r="O15">
        <v>23000</v>
      </c>
    </row>
    <row r="16" spans="1:15">
      <c r="A16" s="8"/>
      <c r="B16" s="50">
        <v>19</v>
      </c>
      <c r="C16" s="51">
        <v>38.4</v>
      </c>
      <c r="D16" s="50">
        <v>80.400000000000006</v>
      </c>
      <c r="O16">
        <v>5000</v>
      </c>
    </row>
    <row r="17" spans="1:15">
      <c r="A17" s="8"/>
      <c r="B17" s="50">
        <v>39.5</v>
      </c>
      <c r="C17" s="51">
        <v>27</v>
      </c>
      <c r="D17" s="50">
        <v>98.8</v>
      </c>
      <c r="O17">
        <f>O14-O15-O16</f>
        <v>10000</v>
      </c>
    </row>
    <row r="18" spans="1:15">
      <c r="A18" s="8"/>
      <c r="B18" s="50">
        <v>42.2</v>
      </c>
      <c r="C18" s="51">
        <v>14.6</v>
      </c>
      <c r="D18" s="50">
        <v>98.9</v>
      </c>
    </row>
    <row r="19" spans="1:15">
      <c r="A19" s="8"/>
      <c r="B19" s="50">
        <v>43.5</v>
      </c>
      <c r="C19" s="51">
        <v>3.3</v>
      </c>
      <c r="D19" s="50">
        <v>93.5</v>
      </c>
    </row>
    <row r="20" spans="1:15">
      <c r="A20" s="8"/>
      <c r="B20" s="50">
        <v>33.299999999999997</v>
      </c>
      <c r="C20" s="51">
        <v>49.5</v>
      </c>
      <c r="D20" s="50">
        <v>91.2</v>
      </c>
    </row>
    <row r="21" spans="1:15">
      <c r="A21" s="8"/>
      <c r="B21" s="50">
        <v>42.3</v>
      </c>
      <c r="C21" s="51">
        <v>56.6</v>
      </c>
      <c r="D21" s="50">
        <v>80.900000000000006</v>
      </c>
    </row>
    <row r="22" spans="1:15">
      <c r="A22" s="8"/>
      <c r="B22" s="50">
        <v>24.6</v>
      </c>
      <c r="C22" s="51">
        <v>29.6</v>
      </c>
      <c r="D22" s="50">
        <v>98.4</v>
      </c>
    </row>
    <row r="23" spans="1:15">
      <c r="A23" s="8"/>
      <c r="B23" s="50">
        <v>11.8</v>
      </c>
      <c r="C23" s="51">
        <v>17.7</v>
      </c>
      <c r="D23" s="50">
        <v>63.7</v>
      </c>
    </row>
    <row r="24" spans="1:15">
      <c r="A24" s="34"/>
      <c r="B24" s="8"/>
      <c r="C24" s="49"/>
      <c r="D24" s="50">
        <v>97.9</v>
      </c>
    </row>
    <row r="25" spans="1:15">
      <c r="A25" s="34"/>
      <c r="B25" s="8"/>
      <c r="C25" s="49"/>
      <c r="D25" s="50">
        <v>71.2</v>
      </c>
    </row>
    <row r="26" spans="1:15">
      <c r="A26" s="34"/>
      <c r="B26" s="8"/>
      <c r="C26" s="49"/>
      <c r="D26" s="50">
        <v>98.8</v>
      </c>
    </row>
    <row r="27" spans="1:15">
      <c r="A27" s="34"/>
      <c r="B27" s="8"/>
      <c r="C27" s="49"/>
      <c r="D27" s="53"/>
      <c r="F27" t="s">
        <v>46</v>
      </c>
    </row>
    <row r="28" spans="1:15">
      <c r="A28" s="34"/>
      <c r="B28" s="8"/>
      <c r="C28" s="49"/>
      <c r="D28" s="50">
        <v>88.7</v>
      </c>
    </row>
    <row r="29" spans="1:15" ht="19" thickBot="1">
      <c r="A29" s="34"/>
      <c r="B29" s="8"/>
      <c r="C29" s="49"/>
      <c r="D29" s="50">
        <v>99.6</v>
      </c>
      <c r="F29" t="s">
        <v>47</v>
      </c>
    </row>
    <row r="30" spans="1:15">
      <c r="A30" s="34"/>
      <c r="B30" s="8"/>
      <c r="C30" s="49"/>
      <c r="D30" s="50">
        <v>82.5</v>
      </c>
      <c r="F30" s="75" t="s">
        <v>48</v>
      </c>
      <c r="G30" s="75" t="s">
        <v>49</v>
      </c>
      <c r="H30" s="75" t="s">
        <v>50</v>
      </c>
      <c r="I30" s="75" t="s">
        <v>51</v>
      </c>
      <c r="J30" s="75" t="s">
        <v>52</v>
      </c>
    </row>
    <row r="31" spans="1:15">
      <c r="A31" s="34"/>
      <c r="B31" s="8"/>
      <c r="C31" s="49"/>
      <c r="D31" s="50">
        <v>96.5</v>
      </c>
      <c r="F31" s="73" t="s">
        <v>53</v>
      </c>
      <c r="G31" s="73">
        <v>22</v>
      </c>
      <c r="H31" s="73">
        <v>556.89999999999986</v>
      </c>
      <c r="I31" s="73">
        <v>25.313636363636359</v>
      </c>
      <c r="J31" s="73">
        <v>394.16599567099598</v>
      </c>
    </row>
    <row r="32" spans="1:15">
      <c r="A32" s="34"/>
      <c r="B32" s="8"/>
      <c r="C32" s="49"/>
      <c r="D32" s="50">
        <v>94.4</v>
      </c>
      <c r="F32" s="73" t="s">
        <v>27</v>
      </c>
      <c r="G32" s="73">
        <v>22</v>
      </c>
      <c r="H32" s="73">
        <v>751.80000000000007</v>
      </c>
      <c r="I32" s="73">
        <v>34.172727272727279</v>
      </c>
      <c r="J32" s="73">
        <v>487.36779220779221</v>
      </c>
    </row>
    <row r="33" spans="1:12" ht="19" thickBot="1">
      <c r="A33" s="34"/>
      <c r="B33" s="8"/>
      <c r="C33" s="49"/>
      <c r="D33" s="50">
        <v>98.2</v>
      </c>
      <c r="F33" s="74" t="s">
        <v>21</v>
      </c>
      <c r="G33" s="74">
        <v>67</v>
      </c>
      <c r="H33" s="74">
        <v>6178.2999999999984</v>
      </c>
      <c r="I33" s="74">
        <v>92.213432835820868</v>
      </c>
      <c r="J33" s="74">
        <v>84.544816824966063</v>
      </c>
    </row>
    <row r="34" spans="1:12">
      <c r="A34" s="34"/>
      <c r="B34" s="8"/>
      <c r="C34" s="49"/>
      <c r="D34" s="50">
        <v>94</v>
      </c>
    </row>
    <row r="35" spans="1:12">
      <c r="A35" s="34"/>
      <c r="B35" s="8"/>
      <c r="C35" s="49"/>
      <c r="D35" s="50">
        <v>95.4</v>
      </c>
    </row>
    <row r="36" spans="1:12" ht="19" thickBot="1">
      <c r="A36" s="34"/>
      <c r="B36" s="8"/>
      <c r="C36" s="49"/>
      <c r="D36" s="50">
        <v>99.1</v>
      </c>
      <c r="F36" t="s">
        <v>54</v>
      </c>
    </row>
    <row r="37" spans="1:12">
      <c r="A37" s="34"/>
      <c r="B37" s="8"/>
      <c r="C37" s="49"/>
      <c r="D37" s="50">
        <v>97.1</v>
      </c>
      <c r="F37" s="75" t="s">
        <v>55</v>
      </c>
      <c r="G37" s="75" t="s">
        <v>56</v>
      </c>
      <c r="H37" s="75" t="s">
        <v>57</v>
      </c>
      <c r="I37" s="75" t="s">
        <v>58</v>
      </c>
      <c r="J37" s="75" t="s">
        <v>22</v>
      </c>
      <c r="K37" s="75" t="s">
        <v>59</v>
      </c>
      <c r="L37" s="75" t="s">
        <v>60</v>
      </c>
    </row>
    <row r="38" spans="1:12">
      <c r="A38" s="34"/>
      <c r="B38" s="8"/>
      <c r="C38" s="49"/>
      <c r="D38" s="50">
        <v>84.8</v>
      </c>
      <c r="F38" s="73" t="s">
        <v>61</v>
      </c>
      <c r="G38" s="73">
        <v>104508.95002157512</v>
      </c>
      <c r="H38" s="73">
        <v>2</v>
      </c>
      <c r="I38" s="73">
        <v>52254.475010787559</v>
      </c>
      <c r="J38" s="73">
        <v>234.24556181982155</v>
      </c>
      <c r="K38" s="73">
        <v>5.2732827620820258E-40</v>
      </c>
      <c r="L38" s="73">
        <v>3.0803868632925813</v>
      </c>
    </row>
    <row r="39" spans="1:12">
      <c r="A39" s="34"/>
      <c r="B39" s="8"/>
      <c r="C39" s="49"/>
      <c r="D39" s="50">
        <v>90.7</v>
      </c>
      <c r="F39" s="73" t="s">
        <v>62</v>
      </c>
      <c r="G39" s="73">
        <v>24092.167455902305</v>
      </c>
      <c r="H39" s="73">
        <v>108</v>
      </c>
      <c r="I39" s="73">
        <v>223.07562459168801</v>
      </c>
      <c r="J39" s="73"/>
      <c r="K39" s="73"/>
      <c r="L39" s="73"/>
    </row>
    <row r="40" spans="1:12">
      <c r="A40" s="34"/>
      <c r="B40" s="8"/>
      <c r="C40" s="49"/>
      <c r="D40" s="50">
        <v>95.2</v>
      </c>
      <c r="F40" s="73"/>
      <c r="G40" s="73"/>
      <c r="H40" s="73"/>
      <c r="I40" s="73"/>
      <c r="J40" s="73"/>
      <c r="K40" s="73"/>
      <c r="L40" s="73"/>
    </row>
    <row r="41" spans="1:12" ht="19" thickBot="1">
      <c r="A41" s="34"/>
      <c r="B41" s="8"/>
      <c r="C41" s="49"/>
      <c r="D41" s="50">
        <v>86.2</v>
      </c>
      <c r="F41" s="74" t="s">
        <v>63</v>
      </c>
      <c r="G41" s="74">
        <v>128601.11747747743</v>
      </c>
      <c r="H41" s="74">
        <v>110</v>
      </c>
      <c r="I41" s="74"/>
      <c r="J41" s="74"/>
      <c r="K41" s="74"/>
      <c r="L41" s="74"/>
    </row>
    <row r="42" spans="1:12">
      <c r="A42" s="34"/>
      <c r="B42" s="8"/>
      <c r="C42" s="49"/>
      <c r="D42" s="50">
        <v>92</v>
      </c>
    </row>
    <row r="43" spans="1:12">
      <c r="A43" s="34"/>
      <c r="B43" s="8"/>
      <c r="C43" s="49"/>
      <c r="D43" s="50">
        <v>89.1</v>
      </c>
    </row>
    <row r="44" spans="1:12">
      <c r="A44" s="34"/>
      <c r="B44" s="8"/>
      <c r="C44" s="49"/>
      <c r="D44" s="50">
        <v>98.3</v>
      </c>
    </row>
    <row r="45" spans="1:12">
      <c r="A45" s="39"/>
      <c r="B45" s="8"/>
      <c r="C45" s="49"/>
      <c r="D45" s="50">
        <v>94.8</v>
      </c>
    </row>
    <row r="46" spans="1:12">
      <c r="A46" s="31"/>
      <c r="B46" s="8"/>
      <c r="C46" s="49"/>
      <c r="D46" s="50">
        <v>90.2</v>
      </c>
    </row>
    <row r="47" spans="1:12">
      <c r="A47" s="11"/>
      <c r="B47" s="8"/>
      <c r="C47" s="49"/>
      <c r="D47" s="50">
        <v>89.9</v>
      </c>
    </row>
    <row r="48" spans="1:12">
      <c r="A48" s="11"/>
      <c r="B48" s="8"/>
      <c r="C48" s="49"/>
      <c r="D48" s="50">
        <v>97.6</v>
      </c>
    </row>
    <row r="49" spans="1:4">
      <c r="A49" s="11"/>
      <c r="B49" s="8"/>
      <c r="C49" s="49"/>
      <c r="D49" s="50">
        <v>94.9</v>
      </c>
    </row>
    <row r="50" spans="1:4">
      <c r="A50" s="11"/>
      <c r="B50" s="8"/>
      <c r="C50" s="49"/>
      <c r="D50" s="50">
        <v>96.3</v>
      </c>
    </row>
    <row r="51" spans="1:4">
      <c r="A51" s="11"/>
      <c r="B51" s="8"/>
      <c r="C51" s="49"/>
      <c r="D51" s="50">
        <v>86.9</v>
      </c>
    </row>
    <row r="52" spans="1:4">
      <c r="A52" s="11"/>
      <c r="B52" s="8"/>
      <c r="C52" s="49"/>
      <c r="D52" s="50">
        <v>97.9</v>
      </c>
    </row>
    <row r="53" spans="1:4">
      <c r="A53" s="11"/>
      <c r="B53" s="8"/>
      <c r="C53" s="49"/>
      <c r="D53" s="50">
        <v>97.1</v>
      </c>
    </row>
    <row r="54" spans="1:4">
      <c r="A54" s="11"/>
      <c r="B54" s="8"/>
      <c r="C54" s="49"/>
      <c r="D54" s="50">
        <v>81.599999999999994</v>
      </c>
    </row>
    <row r="55" spans="1:4">
      <c r="A55" s="11"/>
      <c r="B55" s="8"/>
      <c r="C55" s="49"/>
      <c r="D55" s="50">
        <v>89.9</v>
      </c>
    </row>
    <row r="56" spans="1:4">
      <c r="A56" s="15"/>
      <c r="B56" s="8"/>
      <c r="C56" s="49"/>
      <c r="D56" s="50">
        <v>97.8</v>
      </c>
    </row>
    <row r="57" spans="1:4">
      <c r="A57" s="15"/>
      <c r="B57" s="8"/>
      <c r="C57" s="49"/>
      <c r="D57" s="50">
        <v>98.9</v>
      </c>
    </row>
    <row r="58" spans="1:4">
      <c r="A58" s="15"/>
      <c r="B58" s="8"/>
      <c r="C58" s="49"/>
      <c r="D58" s="50">
        <v>99.3</v>
      </c>
    </row>
    <row r="59" spans="1:4">
      <c r="A59" s="42"/>
      <c r="B59" s="8"/>
      <c r="C59" s="49"/>
      <c r="D59" s="50">
        <v>99.5</v>
      </c>
    </row>
    <row r="60" spans="1:4">
      <c r="A60" s="15"/>
      <c r="B60" s="8"/>
      <c r="C60" s="49"/>
      <c r="D60" s="50">
        <v>98.7</v>
      </c>
    </row>
    <row r="61" spans="1:4">
      <c r="A61" s="15"/>
      <c r="B61" s="8"/>
      <c r="C61" s="49"/>
      <c r="D61" s="50">
        <v>98.1</v>
      </c>
    </row>
    <row r="62" spans="1:4">
      <c r="A62" s="15"/>
      <c r="B62" s="8"/>
      <c r="C62" s="49"/>
      <c r="D62" s="50">
        <v>89.1</v>
      </c>
    </row>
    <row r="63" spans="1:4">
      <c r="A63" s="15"/>
      <c r="B63" s="8"/>
      <c r="C63" s="49"/>
      <c r="D63" s="50">
        <v>99.8</v>
      </c>
    </row>
    <row r="64" spans="1:4">
      <c r="A64" s="15"/>
      <c r="B64" s="8"/>
      <c r="C64" s="49"/>
      <c r="D64" s="50">
        <v>99.4</v>
      </c>
    </row>
    <row r="65" spans="1:4">
      <c r="A65" s="15"/>
      <c r="B65" s="8"/>
      <c r="C65" s="49"/>
      <c r="D65" s="50">
        <v>96</v>
      </c>
    </row>
    <row r="66" spans="1:4">
      <c r="A66" s="15"/>
      <c r="B66" s="8"/>
      <c r="C66" s="49"/>
      <c r="D66" s="50">
        <v>91.7</v>
      </c>
    </row>
    <row r="67" spans="1:4">
      <c r="A67" s="15"/>
      <c r="B67" s="8"/>
      <c r="C67" s="49"/>
      <c r="D67" s="50">
        <v>90.4</v>
      </c>
    </row>
    <row r="68" spans="1:4">
      <c r="A68" s="15"/>
      <c r="B68" s="8"/>
      <c r="C68" s="49"/>
      <c r="D68" s="50">
        <v>84.3</v>
      </c>
    </row>
    <row r="69" spans="1:4">
      <c r="A69" s="15"/>
      <c r="B69" s="8"/>
      <c r="C69" s="49"/>
      <c r="D69" s="50">
        <v>96.9</v>
      </c>
    </row>
    <row r="70" spans="1:4">
      <c r="A70" s="15"/>
      <c r="B70" s="8"/>
      <c r="C70" s="49"/>
      <c r="D70" s="50">
        <v>85</v>
      </c>
    </row>
    <row r="71" spans="1:4">
      <c r="A71" s="44"/>
      <c r="B71" s="8"/>
      <c r="C71" s="49"/>
      <c r="D71" s="50">
        <v>99.9</v>
      </c>
    </row>
    <row r="72" spans="1:4">
      <c r="A72" s="15"/>
    </row>
    <row r="73" spans="1:4">
      <c r="A73" s="15"/>
    </row>
    <row r="74" spans="1:4">
      <c r="A74" s="15"/>
    </row>
    <row r="75" spans="1:4">
      <c r="A75" s="15"/>
    </row>
    <row r="76" spans="1:4">
      <c r="A76" s="15"/>
    </row>
    <row r="77" spans="1:4">
      <c r="A77" s="15"/>
    </row>
    <row r="78" spans="1:4">
      <c r="A78" s="15"/>
    </row>
    <row r="79" spans="1:4">
      <c r="A79" s="18"/>
    </row>
    <row r="80" spans="1:4">
      <c r="A80" s="15"/>
    </row>
    <row r="81" spans="1:1">
      <c r="A81" s="15"/>
    </row>
    <row r="82" spans="1:1">
      <c r="A82" s="15"/>
    </row>
    <row r="83" spans="1:1">
      <c r="A83" s="15"/>
    </row>
    <row r="84" spans="1:1">
      <c r="A84" s="15"/>
    </row>
    <row r="85" spans="1:1">
      <c r="A85" s="15"/>
    </row>
    <row r="86" spans="1:1">
      <c r="A86" s="15"/>
    </row>
    <row r="87" spans="1:1">
      <c r="A87" s="15"/>
    </row>
    <row r="88" spans="1:1">
      <c r="A88" s="15"/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  <row r="103" spans="1:1">
      <c r="A103" s="15"/>
    </row>
    <row r="104" spans="1:1">
      <c r="A104" s="15"/>
    </row>
    <row r="105" spans="1:1">
      <c r="A105" s="15"/>
    </row>
    <row r="106" spans="1:1">
      <c r="A106" s="15"/>
    </row>
    <row r="107" spans="1:1">
      <c r="A107" s="15"/>
    </row>
    <row r="108" spans="1:1">
      <c r="A108" s="15"/>
    </row>
    <row r="109" spans="1:1">
      <c r="A109" s="15"/>
    </row>
    <row r="110" spans="1:1">
      <c r="A110" s="15"/>
    </row>
    <row r="111" spans="1:1">
      <c r="A111" s="15"/>
    </row>
    <row r="112" spans="1:1">
      <c r="A112" s="15"/>
    </row>
    <row r="113" spans="1:1">
      <c r="A113" s="15"/>
    </row>
    <row r="114" spans="1:1">
      <c r="A114" s="15"/>
    </row>
    <row r="115" spans="1:1">
      <c r="A115" s="15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F8C5-FA72-DF46-BF53-2CAA0E64A21C}">
  <dimension ref="A1:T150"/>
  <sheetViews>
    <sheetView workbookViewId="0">
      <selection activeCell="A24" sqref="A24"/>
    </sheetView>
  </sheetViews>
  <sheetFormatPr baseColWidth="10" defaultRowHeight="18"/>
  <cols>
    <col min="11" max="19" width="12.7109375" bestFit="1" customWidth="1"/>
  </cols>
  <sheetData>
    <row r="1" spans="1:19">
      <c r="A1" t="s">
        <v>46</v>
      </c>
      <c r="C1" t="s">
        <v>64</v>
      </c>
    </row>
    <row r="3" spans="1:19" ht="19" thickBot="1">
      <c r="A3" t="s">
        <v>47</v>
      </c>
      <c r="L3" s="46"/>
    </row>
    <row r="4" spans="1:19">
      <c r="A4" s="47" t="s">
        <v>48</v>
      </c>
      <c r="B4" s="47" t="s">
        <v>49</v>
      </c>
      <c r="C4" s="47" t="s">
        <v>50</v>
      </c>
      <c r="D4" s="47" t="s">
        <v>51</v>
      </c>
      <c r="E4" s="47" t="s">
        <v>52</v>
      </c>
      <c r="J4" s="47" t="s">
        <v>48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73</v>
      </c>
    </row>
    <row r="5" spans="1:19">
      <c r="A5" t="s">
        <v>53</v>
      </c>
      <c r="B5">
        <v>22</v>
      </c>
      <c r="C5">
        <v>45.886050415039065</v>
      </c>
      <c r="D5">
        <v>2.0857295643199576</v>
      </c>
      <c r="E5">
        <v>0.98446295514736515</v>
      </c>
      <c r="J5" t="s">
        <v>53</v>
      </c>
      <c r="K5" s="101">
        <f>D5</f>
        <v>2.0857295643199576</v>
      </c>
      <c r="L5" s="101">
        <f>D21</f>
        <v>1.1056142286820843</v>
      </c>
      <c r="M5" s="101">
        <f>D38</f>
        <v>2.4621142855557521</v>
      </c>
      <c r="N5" s="101">
        <f>D54</f>
        <v>0.13718651164661788</v>
      </c>
      <c r="O5" s="101">
        <f>D72</f>
        <v>12.234912055622447</v>
      </c>
      <c r="P5" s="101">
        <f>D89</f>
        <v>9.8509728050231935</v>
      </c>
      <c r="Q5" s="101">
        <f>D106</f>
        <v>10.064772377014158</v>
      </c>
      <c r="R5" s="101">
        <f>D123</f>
        <v>7.1002172470092777</v>
      </c>
      <c r="S5" s="101">
        <f>D140</f>
        <v>11.082603813518178</v>
      </c>
    </row>
    <row r="6" spans="1:19">
      <c r="A6" t="s">
        <v>27</v>
      </c>
      <c r="B6">
        <v>22</v>
      </c>
      <c r="C6">
        <v>59.002470855712893</v>
      </c>
      <c r="D6">
        <v>2.6819304934414951</v>
      </c>
      <c r="E6">
        <v>3.7474867184503169</v>
      </c>
      <c r="J6" t="s">
        <v>27</v>
      </c>
      <c r="K6" s="101">
        <f t="shared" ref="K6:K7" si="0">D6</f>
        <v>2.6819304934414951</v>
      </c>
      <c r="L6" s="101">
        <f t="shared" ref="L6:L7" si="1">D22</f>
        <v>0.98100236199118851</v>
      </c>
      <c r="M6" s="101">
        <f t="shared" ref="M6:M7" si="2">D39</f>
        <v>2.1580513121865006</v>
      </c>
      <c r="N6" s="101">
        <f t="shared" ref="N6:N7" si="3">D55</f>
        <v>0.71850479299371883</v>
      </c>
      <c r="O6" s="101">
        <f t="shared" ref="O6:O7" si="4">D73</f>
        <v>12.154046311811969</v>
      </c>
      <c r="P6" s="101">
        <f t="shared" ref="P6:P7" si="5">D90</f>
        <v>11.333260272632945</v>
      </c>
      <c r="Q6" s="101">
        <f t="shared" ref="Q6:Q7" si="6">D107</f>
        <v>9.3133950753645465</v>
      </c>
      <c r="R6" s="101">
        <f t="shared" ref="R6:R7" si="7">D124</f>
        <v>8.2414840680902657</v>
      </c>
      <c r="S6" s="101">
        <f t="shared" ref="S6:S7" si="8">D141</f>
        <v>10.934690992181952</v>
      </c>
    </row>
    <row r="7" spans="1:19" ht="19" thickBot="1">
      <c r="A7" s="46" t="s">
        <v>21</v>
      </c>
      <c r="B7" s="46">
        <v>70</v>
      </c>
      <c r="C7" s="46">
        <v>7.9354115676879786</v>
      </c>
      <c r="D7" s="46">
        <v>0.11336302239554255</v>
      </c>
      <c r="E7" s="46">
        <v>3.0388263211298274</v>
      </c>
      <c r="J7" s="46" t="s">
        <v>21</v>
      </c>
      <c r="K7" s="101">
        <f t="shared" si="0"/>
        <v>0.11336302239554255</v>
      </c>
      <c r="L7" s="101">
        <f t="shared" si="1"/>
        <v>-0.95309821755545476</v>
      </c>
      <c r="M7" s="101">
        <f t="shared" si="2"/>
        <v>-9.6220894404820109E-2</v>
      </c>
      <c r="N7" s="101">
        <f t="shared" si="3"/>
        <v>-1.0210922453744073</v>
      </c>
      <c r="O7" s="101">
        <f t="shared" si="4"/>
        <v>8.9542798183986108</v>
      </c>
      <c r="P7" s="101">
        <f t="shared" si="5"/>
        <v>7.0833487363542833</v>
      </c>
      <c r="Q7" s="101">
        <f t="shared" si="6"/>
        <v>5.0105673463003981</v>
      </c>
      <c r="R7" s="101">
        <f t="shared" si="7"/>
        <v>4.5079499391828266</v>
      </c>
      <c r="S7" s="101">
        <f t="shared" si="8"/>
        <v>7.2528423358372285</v>
      </c>
    </row>
    <row r="8" spans="1:19">
      <c r="K8" s="101">
        <f>F12</f>
        <v>6.6654525996114104E-10</v>
      </c>
      <c r="L8" s="101">
        <f>F28</f>
        <v>4.6745216901558644E-10</v>
      </c>
      <c r="M8" s="101">
        <f>F45</f>
        <v>3.1870581442467608E-13</v>
      </c>
      <c r="N8" s="101">
        <f>F61</f>
        <v>2.0608835663391905E-6</v>
      </c>
      <c r="O8" s="101">
        <f>F79</f>
        <v>5.2669446288703467E-14</v>
      </c>
      <c r="P8" s="101">
        <f>F96</f>
        <v>4.0185834266963599E-9</v>
      </c>
      <c r="Q8" s="101">
        <f>F113</f>
        <v>4.6193816077782475E-24</v>
      </c>
      <c r="R8" s="101">
        <f>F130</f>
        <v>1.5981784010449322E-11</v>
      </c>
      <c r="S8" s="101">
        <f>F147</f>
        <v>8.6342832067796118E-16</v>
      </c>
    </row>
    <row r="9" spans="1:19">
      <c r="K9" s="101">
        <f>LOG(1/K8)</f>
        <v>9.1761703556514558</v>
      </c>
      <c r="L9" s="101">
        <f t="shared" ref="L9:S9" si="9">LOG(1/L8)</f>
        <v>9.330262820717282</v>
      </c>
      <c r="M9" s="101">
        <f t="shared" si="9"/>
        <v>12.496610013245697</v>
      </c>
      <c r="N9" s="101">
        <f t="shared" si="9"/>
        <v>5.6859465438465984</v>
      </c>
      <c r="O9" s="101">
        <f t="shared" si="9"/>
        <v>13.278441247335033</v>
      </c>
      <c r="P9" s="101">
        <f t="shared" si="9"/>
        <v>8.3959270111913344</v>
      </c>
      <c r="Q9" s="101">
        <f t="shared" si="9"/>
        <v>23.335416159141921</v>
      </c>
      <c r="R9" s="101">
        <f t="shared" si="9"/>
        <v>10.79637474300398</v>
      </c>
      <c r="S9" s="101">
        <f t="shared" si="9"/>
        <v>15.063773710471914</v>
      </c>
    </row>
    <row r="10" spans="1:19" ht="19" thickBot="1">
      <c r="A10" t="s">
        <v>54</v>
      </c>
    </row>
    <row r="11" spans="1:19">
      <c r="A11" s="47" t="s">
        <v>55</v>
      </c>
      <c r="B11" s="47" t="s">
        <v>56</v>
      </c>
      <c r="C11" s="47" t="s">
        <v>57</v>
      </c>
      <c r="D11" s="47" t="s">
        <v>58</v>
      </c>
      <c r="E11" s="47" t="s">
        <v>22</v>
      </c>
      <c r="F11" s="47" t="s">
        <v>59</v>
      </c>
      <c r="G11" s="47" t="s">
        <v>60</v>
      </c>
      <c r="J11" s="47" t="s">
        <v>48</v>
      </c>
      <c r="K11" t="s">
        <v>64</v>
      </c>
      <c r="L11" t="s">
        <v>65</v>
      </c>
      <c r="M11" t="s">
        <v>66</v>
      </c>
      <c r="N11" t="s">
        <v>67</v>
      </c>
      <c r="O11" t="s">
        <v>68</v>
      </c>
      <c r="P11" t="s">
        <v>69</v>
      </c>
      <c r="Q11" t="s">
        <v>70</v>
      </c>
      <c r="R11" t="s">
        <v>71</v>
      </c>
      <c r="S11" t="s">
        <v>73</v>
      </c>
    </row>
    <row r="12" spans="1:19">
      <c r="A12" t="s">
        <v>61</v>
      </c>
      <c r="B12">
        <v>143.1860015251288</v>
      </c>
      <c r="C12">
        <v>2</v>
      </c>
      <c r="D12">
        <v>71.593000762564401</v>
      </c>
      <c r="E12">
        <v>25.713716651359569</v>
      </c>
      <c r="F12">
        <v>6.6654525996114104E-10</v>
      </c>
      <c r="G12">
        <v>3.0780573691453137</v>
      </c>
      <c r="J12" t="s">
        <v>53</v>
      </c>
      <c r="K12">
        <f>K5-K$5</f>
        <v>0</v>
      </c>
      <c r="L12">
        <f t="shared" ref="L12:S12" si="10">L5-L$5</f>
        <v>0</v>
      </c>
      <c r="M12">
        <f t="shared" si="10"/>
        <v>0</v>
      </c>
      <c r="N12">
        <f t="shared" si="10"/>
        <v>0</v>
      </c>
      <c r="O12">
        <f t="shared" si="10"/>
        <v>0</v>
      </c>
      <c r="P12">
        <f t="shared" si="10"/>
        <v>0</v>
      </c>
      <c r="Q12">
        <f t="shared" si="10"/>
        <v>0</v>
      </c>
      <c r="R12">
        <f t="shared" si="10"/>
        <v>0</v>
      </c>
      <c r="S12">
        <f t="shared" si="10"/>
        <v>0</v>
      </c>
    </row>
    <row r="13" spans="1:19">
      <c r="A13" t="s">
        <v>62</v>
      </c>
      <c r="B13">
        <v>309.04995930350947</v>
      </c>
      <c r="C13">
        <v>111</v>
      </c>
      <c r="D13">
        <v>2.7842338675991845</v>
      </c>
      <c r="J13" t="s">
        <v>27</v>
      </c>
      <c r="K13">
        <f t="shared" ref="K13:S13" si="11">K6-K$5</f>
        <v>0.59620092912153755</v>
      </c>
      <c r="L13">
        <f t="shared" si="11"/>
        <v>-0.12461186669089575</v>
      </c>
      <c r="M13">
        <f t="shared" si="11"/>
        <v>-0.30406297336925148</v>
      </c>
      <c r="N13">
        <f t="shared" si="11"/>
        <v>0.58131828134710095</v>
      </c>
      <c r="O13">
        <f t="shared" si="11"/>
        <v>-8.0865743810477397E-2</v>
      </c>
      <c r="P13">
        <f t="shared" si="11"/>
        <v>1.4822874676097513</v>
      </c>
      <c r="Q13">
        <f t="shared" si="11"/>
        <v>-0.7513773016496117</v>
      </c>
      <c r="R13">
        <f t="shared" si="11"/>
        <v>1.141266821080988</v>
      </c>
      <c r="S13">
        <f t="shared" si="11"/>
        <v>-0.14791282133622552</v>
      </c>
    </row>
    <row r="14" spans="1:19" ht="19" thickBot="1">
      <c r="J14" s="46" t="s">
        <v>21</v>
      </c>
      <c r="K14">
        <f t="shared" ref="K14:S14" si="12">K7-K$5</f>
        <v>-1.972366541924415</v>
      </c>
      <c r="L14">
        <f t="shared" si="12"/>
        <v>-2.0587124462375392</v>
      </c>
      <c r="M14">
        <f t="shared" si="12"/>
        <v>-2.5583351799605722</v>
      </c>
      <c r="N14">
        <f t="shared" si="12"/>
        <v>-1.1582787570210251</v>
      </c>
      <c r="O14">
        <f t="shared" si="12"/>
        <v>-3.2806322372238359</v>
      </c>
      <c r="P14">
        <f t="shared" si="12"/>
        <v>-2.7676240686689102</v>
      </c>
      <c r="Q14">
        <f t="shared" si="12"/>
        <v>-5.05420503071376</v>
      </c>
      <c r="R14">
        <f t="shared" si="12"/>
        <v>-2.5922673078264511</v>
      </c>
      <c r="S14">
        <f t="shared" si="12"/>
        <v>-3.8297614776809494</v>
      </c>
    </row>
    <row r="15" spans="1:19" ht="19" thickBot="1">
      <c r="A15" s="46" t="s">
        <v>63</v>
      </c>
      <c r="B15" s="46">
        <v>452.23596082863827</v>
      </c>
      <c r="C15" s="46">
        <v>113</v>
      </c>
      <c r="D15" s="46"/>
      <c r="E15" s="46"/>
      <c r="F15" s="46"/>
      <c r="G15" s="46"/>
    </row>
    <row r="16" spans="1:19" ht="19" thickBot="1"/>
    <row r="17" spans="1:20">
      <c r="A17" t="s">
        <v>46</v>
      </c>
      <c r="C17" t="s">
        <v>65</v>
      </c>
      <c r="J17" s="47" t="s">
        <v>48</v>
      </c>
      <c r="K17" t="s">
        <v>64</v>
      </c>
      <c r="L17" t="s">
        <v>65</v>
      </c>
      <c r="M17" t="s">
        <v>66</v>
      </c>
      <c r="N17" t="s">
        <v>67</v>
      </c>
      <c r="O17" t="s">
        <v>68</v>
      </c>
      <c r="P17" t="s">
        <v>69</v>
      </c>
      <c r="Q17" t="s">
        <v>70</v>
      </c>
      <c r="R17" t="s">
        <v>71</v>
      </c>
      <c r="S17" t="s">
        <v>73</v>
      </c>
    </row>
    <row r="18" spans="1:20">
      <c r="J18" t="s">
        <v>53</v>
      </c>
    </row>
    <row r="19" spans="1:20" ht="19" thickBot="1">
      <c r="A19" t="s">
        <v>47</v>
      </c>
      <c r="J19" t="s">
        <v>27</v>
      </c>
      <c r="M19">
        <f t="shared" ref="M19:S19" si="13">M$9*M13</f>
        <v>-3.7997563976634474</v>
      </c>
      <c r="O19">
        <f t="shared" si="13"/>
        <v>-1.0737710281094708</v>
      </c>
      <c r="Q19">
        <f t="shared" si="13"/>
        <v>-17.533702026526804</v>
      </c>
      <c r="S19">
        <f t="shared" si="13"/>
        <v>-2.2281252694863629</v>
      </c>
      <c r="T19">
        <f>SUM(K19:S19)</f>
        <v>-24.635354721786086</v>
      </c>
    </row>
    <row r="20" spans="1:20" ht="19" thickBot="1">
      <c r="A20" s="47" t="s">
        <v>48</v>
      </c>
      <c r="B20" s="47" t="s">
        <v>49</v>
      </c>
      <c r="C20" s="47" t="s">
        <v>50</v>
      </c>
      <c r="D20" s="47" t="s">
        <v>51</v>
      </c>
      <c r="E20" s="47" t="s">
        <v>52</v>
      </c>
      <c r="J20" s="46" t="s">
        <v>21</v>
      </c>
      <c r="M20">
        <f t="shared" ref="M20:S20" si="14">M$9*M14</f>
        <v>-31.970517027134019</v>
      </c>
      <c r="O20">
        <f t="shared" si="14"/>
        <v>-43.561682416089994</v>
      </c>
      <c r="Q20">
        <f t="shared" si="14"/>
        <v>-117.94197774533427</v>
      </c>
      <c r="S20">
        <f t="shared" si="14"/>
        <v>-57.690660264868356</v>
      </c>
      <c r="T20">
        <f>SUM(K20:S20)</f>
        <v>-251.16483745342663</v>
      </c>
    </row>
    <row r="21" spans="1:20">
      <c r="A21" t="s">
        <v>53</v>
      </c>
      <c r="B21">
        <v>22</v>
      </c>
      <c r="C21">
        <v>24.323513031005856</v>
      </c>
      <c r="D21">
        <v>1.1056142286820843</v>
      </c>
      <c r="E21">
        <v>1.612707753936506</v>
      </c>
    </row>
    <row r="22" spans="1:20">
      <c r="A22" t="s">
        <v>27</v>
      </c>
      <c r="B22">
        <v>22</v>
      </c>
      <c r="C22">
        <v>21.582051963806148</v>
      </c>
      <c r="D22">
        <v>0.98100236199118851</v>
      </c>
      <c r="E22">
        <v>2.3320222021952111</v>
      </c>
    </row>
    <row r="23" spans="1:20" ht="19" thickBot="1">
      <c r="A23" s="46" t="s">
        <v>21</v>
      </c>
      <c r="B23" s="46">
        <v>70</v>
      </c>
      <c r="C23" s="46">
        <v>-66.716875228881833</v>
      </c>
      <c r="D23" s="46">
        <v>-0.95309821755545476</v>
      </c>
      <c r="E23" s="46">
        <v>2.1061846561074136</v>
      </c>
    </row>
    <row r="26" spans="1:20" ht="19" thickBot="1">
      <c r="A26" t="s">
        <v>54</v>
      </c>
    </row>
    <row r="27" spans="1:20">
      <c r="A27" s="47" t="s">
        <v>55</v>
      </c>
      <c r="B27" s="47" t="s">
        <v>56</v>
      </c>
      <c r="C27" s="47" t="s">
        <v>57</v>
      </c>
      <c r="D27" s="47" t="s">
        <v>58</v>
      </c>
      <c r="E27" s="47" t="s">
        <v>22</v>
      </c>
      <c r="F27" s="47" t="s">
        <v>59</v>
      </c>
      <c r="G27" s="47" t="s">
        <v>60</v>
      </c>
    </row>
    <row r="28" spans="1:20">
      <c r="A28" t="s">
        <v>61</v>
      </c>
      <c r="B28">
        <v>107.85298482851621</v>
      </c>
      <c r="C28">
        <v>2</v>
      </c>
      <c r="D28">
        <v>53.926492414258107</v>
      </c>
      <c r="E28">
        <v>26.23457838755731</v>
      </c>
      <c r="F28">
        <v>4.6745216901558644E-10</v>
      </c>
      <c r="G28">
        <v>3.0780573691453137</v>
      </c>
    </row>
    <row r="29" spans="1:20">
      <c r="A29" t="s">
        <v>62</v>
      </c>
      <c r="B29">
        <v>228.16607035017759</v>
      </c>
      <c r="C29">
        <v>111</v>
      </c>
      <c r="D29">
        <v>2.0555501833349332</v>
      </c>
    </row>
    <row r="31" spans="1:20" ht="19" thickBot="1">
      <c r="A31" s="46" t="s">
        <v>63</v>
      </c>
      <c r="B31" s="46">
        <v>336.0190551786938</v>
      </c>
      <c r="C31" s="46">
        <v>113</v>
      </c>
      <c r="D31" s="46"/>
      <c r="E31" s="46"/>
      <c r="F31" s="46"/>
      <c r="G31" s="46"/>
    </row>
    <row r="34" spans="1:7">
      <c r="A34" t="s">
        <v>46</v>
      </c>
      <c r="C34" t="s">
        <v>66</v>
      </c>
    </row>
    <row r="36" spans="1:7" ht="19" thickBot="1">
      <c r="A36" t="s">
        <v>47</v>
      </c>
    </row>
    <row r="37" spans="1:7">
      <c r="A37" s="47" t="s">
        <v>48</v>
      </c>
      <c r="B37" s="47" t="s">
        <v>49</v>
      </c>
      <c r="C37" s="47" t="s">
        <v>50</v>
      </c>
      <c r="D37" s="47" t="s">
        <v>51</v>
      </c>
      <c r="E37" s="47" t="s">
        <v>52</v>
      </c>
    </row>
    <row r="38" spans="1:7">
      <c r="A38" t="s">
        <v>53</v>
      </c>
      <c r="B38">
        <v>22</v>
      </c>
      <c r="C38">
        <v>54.166514282226544</v>
      </c>
      <c r="D38">
        <v>2.4621142855557521</v>
      </c>
      <c r="E38">
        <v>3.5530729915169368</v>
      </c>
    </row>
    <row r="39" spans="1:7">
      <c r="A39" t="s">
        <v>27</v>
      </c>
      <c r="B39">
        <v>22</v>
      </c>
      <c r="C39">
        <v>47.477128868103009</v>
      </c>
      <c r="D39">
        <v>2.1580513121865006</v>
      </c>
      <c r="E39">
        <v>1.1313502204826746</v>
      </c>
    </row>
    <row r="40" spans="1:7" ht="19" thickBot="1">
      <c r="A40" s="46" t="s">
        <v>21</v>
      </c>
      <c r="B40" s="46">
        <v>70</v>
      </c>
      <c r="C40" s="46">
        <v>-6.7354626083374072</v>
      </c>
      <c r="D40" s="46">
        <v>-9.6220894404820109E-2</v>
      </c>
      <c r="E40" s="46">
        <v>1.9329313499239065</v>
      </c>
    </row>
    <row r="43" spans="1:7" ht="19" thickBot="1">
      <c r="A43" t="s">
        <v>54</v>
      </c>
    </row>
    <row r="44" spans="1:7">
      <c r="A44" s="47" t="s">
        <v>55</v>
      </c>
      <c r="B44" s="47" t="s">
        <v>56</v>
      </c>
      <c r="C44" s="47" t="s">
        <v>57</v>
      </c>
      <c r="D44" s="47" t="s">
        <v>58</v>
      </c>
      <c r="E44" s="47" t="s">
        <v>22</v>
      </c>
      <c r="F44" s="47" t="s">
        <v>59</v>
      </c>
      <c r="G44" s="47" t="s">
        <v>60</v>
      </c>
    </row>
    <row r="45" spans="1:7">
      <c r="A45" t="s">
        <v>61</v>
      </c>
      <c r="B45">
        <v>157.45661291093896</v>
      </c>
      <c r="C45">
        <v>2</v>
      </c>
      <c r="D45">
        <v>78.728306455469479</v>
      </c>
      <c r="E45">
        <v>37.708845229575189</v>
      </c>
      <c r="F45">
        <v>3.1870581442467608E-13</v>
      </c>
      <c r="G45">
        <v>3.0780573691453137</v>
      </c>
    </row>
    <row r="46" spans="1:7">
      <c r="A46" t="s">
        <v>62</v>
      </c>
      <c r="B46">
        <v>231.7451505967413</v>
      </c>
      <c r="C46">
        <v>111</v>
      </c>
      <c r="D46">
        <v>2.0877941495201919</v>
      </c>
    </row>
    <row r="48" spans="1:7" ht="19" thickBot="1">
      <c r="A48" s="46" t="s">
        <v>63</v>
      </c>
      <c r="B48" s="46">
        <v>389.20176350768025</v>
      </c>
      <c r="C48" s="46">
        <v>113</v>
      </c>
      <c r="D48" s="46"/>
      <c r="E48" s="46"/>
      <c r="F48" s="46"/>
      <c r="G48" s="46"/>
    </row>
    <row r="50" spans="1:7">
      <c r="A50" t="s">
        <v>46</v>
      </c>
      <c r="C50" t="s">
        <v>67</v>
      </c>
    </row>
    <row r="52" spans="1:7" ht="19" thickBot="1">
      <c r="A52" t="s">
        <v>47</v>
      </c>
    </row>
    <row r="53" spans="1:7">
      <c r="A53" s="47" t="s">
        <v>48</v>
      </c>
      <c r="B53" s="47" t="s">
        <v>49</v>
      </c>
      <c r="C53" s="47" t="s">
        <v>50</v>
      </c>
      <c r="D53" s="47" t="s">
        <v>51</v>
      </c>
      <c r="E53" s="47" t="s">
        <v>52</v>
      </c>
    </row>
    <row r="54" spans="1:7">
      <c r="A54" t="s">
        <v>53</v>
      </c>
      <c r="B54">
        <v>22</v>
      </c>
      <c r="C54">
        <v>3.0181032562255936</v>
      </c>
      <c r="D54">
        <v>0.13718651164661788</v>
      </c>
      <c r="E54">
        <v>1.0808774669507986</v>
      </c>
    </row>
    <row r="55" spans="1:7">
      <c r="A55" t="s">
        <v>27</v>
      </c>
      <c r="B55">
        <v>22</v>
      </c>
      <c r="C55">
        <v>15.807105445861815</v>
      </c>
      <c r="D55">
        <v>0.71850479299371883</v>
      </c>
      <c r="E55">
        <v>3.5676983144059848</v>
      </c>
    </row>
    <row r="56" spans="1:7" ht="19" thickBot="1">
      <c r="A56" s="46" t="s">
        <v>21</v>
      </c>
      <c r="B56" s="46">
        <v>70</v>
      </c>
      <c r="C56" s="46">
        <v>-71.476457176208513</v>
      </c>
      <c r="D56" s="46">
        <v>-1.0210922453744073</v>
      </c>
      <c r="E56" s="46">
        <v>1.8775768062699656</v>
      </c>
    </row>
    <row r="59" spans="1:7" ht="19" thickBot="1">
      <c r="A59" t="s">
        <v>54</v>
      </c>
    </row>
    <row r="60" spans="1:7">
      <c r="A60" s="47" t="s">
        <v>55</v>
      </c>
      <c r="B60" s="47" t="s">
        <v>56</v>
      </c>
      <c r="C60" s="47" t="s">
        <v>57</v>
      </c>
      <c r="D60" s="47" t="s">
        <v>58</v>
      </c>
      <c r="E60" s="47" t="s">
        <v>22</v>
      </c>
      <c r="F60" s="47" t="s">
        <v>59</v>
      </c>
      <c r="G60" s="47" t="s">
        <v>60</v>
      </c>
    </row>
    <row r="61" spans="1:7">
      <c r="A61" t="s">
        <v>61</v>
      </c>
      <c r="B61">
        <v>60.438440181571309</v>
      </c>
      <c r="C61">
        <v>2</v>
      </c>
      <c r="D61">
        <v>30.219220090785655</v>
      </c>
      <c r="E61">
        <v>14.765553296013856</v>
      </c>
      <c r="F61">
        <v>2.0608835663391905E-6</v>
      </c>
      <c r="G61">
        <v>3.0780573691453137</v>
      </c>
    </row>
    <row r="62" spans="1:7">
      <c r="A62" t="s">
        <v>62</v>
      </c>
      <c r="B62">
        <v>227.17289104112012</v>
      </c>
      <c r="C62">
        <v>111</v>
      </c>
      <c r="D62">
        <v>2.046602621992073</v>
      </c>
    </row>
    <row r="64" spans="1:7" ht="19" thickBot="1">
      <c r="A64" s="46" t="s">
        <v>63</v>
      </c>
      <c r="B64" s="46">
        <v>287.61133122269143</v>
      </c>
      <c r="C64" s="46">
        <v>113</v>
      </c>
      <c r="D64" s="46"/>
      <c r="E64" s="46"/>
      <c r="F64" s="46"/>
      <c r="G64" s="46"/>
    </row>
    <row r="68" spans="1:7">
      <c r="A68" t="s">
        <v>46</v>
      </c>
      <c r="C68" t="s">
        <v>68</v>
      </c>
    </row>
    <row r="70" spans="1:7" ht="19" thickBot="1">
      <c r="A70" t="s">
        <v>47</v>
      </c>
    </row>
    <row r="71" spans="1:7">
      <c r="A71" s="47" t="s">
        <v>48</v>
      </c>
      <c r="B71" s="47" t="s">
        <v>49</v>
      </c>
      <c r="C71" s="47" t="s">
        <v>50</v>
      </c>
      <c r="D71" s="47" t="s">
        <v>51</v>
      </c>
      <c r="E71" s="47" t="s">
        <v>52</v>
      </c>
    </row>
    <row r="72" spans="1:7">
      <c r="A72" t="s">
        <v>53</v>
      </c>
      <c r="B72">
        <v>22</v>
      </c>
      <c r="C72">
        <v>269.16806522369382</v>
      </c>
      <c r="D72">
        <v>12.234912055622447</v>
      </c>
      <c r="E72">
        <v>0.64823046388102235</v>
      </c>
    </row>
    <row r="73" spans="1:7">
      <c r="A73" t="s">
        <v>27</v>
      </c>
      <c r="B73">
        <v>22</v>
      </c>
      <c r="C73">
        <v>267.38901885986331</v>
      </c>
      <c r="D73">
        <v>12.154046311811969</v>
      </c>
      <c r="E73">
        <v>2.4104767697805678</v>
      </c>
    </row>
    <row r="74" spans="1:7" ht="19" thickBot="1">
      <c r="A74" s="46" t="s">
        <v>21</v>
      </c>
      <c r="B74" s="46">
        <v>70</v>
      </c>
      <c r="C74" s="46">
        <v>626.7995872879028</v>
      </c>
      <c r="D74" s="46">
        <v>8.9542798183986108</v>
      </c>
      <c r="E74" s="46">
        <v>4.665080112242757</v>
      </c>
    </row>
    <row r="77" spans="1:7" ht="19" thickBot="1">
      <c r="A77" t="s">
        <v>54</v>
      </c>
    </row>
    <row r="78" spans="1:7">
      <c r="A78" s="47" t="s">
        <v>55</v>
      </c>
      <c r="B78" s="47" t="s">
        <v>56</v>
      </c>
      <c r="C78" s="47" t="s">
        <v>57</v>
      </c>
      <c r="D78" s="47" t="s">
        <v>58</v>
      </c>
      <c r="E78" s="47" t="s">
        <v>22</v>
      </c>
      <c r="F78" s="47" t="s">
        <v>59</v>
      </c>
      <c r="G78" s="47" t="s">
        <v>60</v>
      </c>
    </row>
    <row r="79" spans="1:7">
      <c r="A79" t="s">
        <v>61</v>
      </c>
      <c r="B79">
        <v>283.72620506947885</v>
      </c>
      <c r="C79">
        <v>2</v>
      </c>
      <c r="D79">
        <v>141.86310253473943</v>
      </c>
      <c r="E79">
        <v>40.781794657351981</v>
      </c>
      <c r="F79">
        <v>5.2669446288703467E-14</v>
      </c>
      <c r="G79">
        <v>3.0780573691453137</v>
      </c>
    </row>
    <row r="80" spans="1:7">
      <c r="A80" t="s">
        <v>62</v>
      </c>
      <c r="B80">
        <v>386.12337965164329</v>
      </c>
      <c r="C80">
        <v>111</v>
      </c>
      <c r="D80">
        <v>3.4785890058706603</v>
      </c>
    </row>
    <row r="82" spans="1:7" ht="19" thickBot="1">
      <c r="A82" s="46" t="s">
        <v>63</v>
      </c>
      <c r="B82" s="46">
        <v>669.84958472112214</v>
      </c>
      <c r="C82" s="46">
        <v>113</v>
      </c>
      <c r="D82" s="46"/>
      <c r="E82" s="46"/>
      <c r="F82" s="46"/>
      <c r="G82" s="46"/>
    </row>
    <row r="85" spans="1:7">
      <c r="A85" t="s">
        <v>46</v>
      </c>
      <c r="C85" t="s">
        <v>69</v>
      </c>
    </row>
    <row r="87" spans="1:7" ht="19" thickBot="1">
      <c r="A87" t="s">
        <v>47</v>
      </c>
    </row>
    <row r="88" spans="1:7">
      <c r="A88" s="47" t="s">
        <v>48</v>
      </c>
      <c r="B88" s="47" t="s">
        <v>49</v>
      </c>
      <c r="C88" s="47" t="s">
        <v>50</v>
      </c>
      <c r="D88" s="47" t="s">
        <v>51</v>
      </c>
      <c r="E88" s="47" t="s">
        <v>52</v>
      </c>
    </row>
    <row r="89" spans="1:7">
      <c r="A89" t="s">
        <v>53</v>
      </c>
      <c r="B89">
        <v>22</v>
      </c>
      <c r="C89">
        <v>216.72140171051026</v>
      </c>
      <c r="D89">
        <v>9.8509728050231935</v>
      </c>
      <c r="E89">
        <v>4.6404646310945843</v>
      </c>
    </row>
    <row r="90" spans="1:7">
      <c r="A90" t="s">
        <v>27</v>
      </c>
      <c r="B90">
        <v>22</v>
      </c>
      <c r="C90">
        <v>249.33172599792479</v>
      </c>
      <c r="D90">
        <v>11.333260272632945</v>
      </c>
      <c r="E90">
        <v>5.8618238514480776</v>
      </c>
    </row>
    <row r="91" spans="1:7" ht="19" thickBot="1">
      <c r="A91" s="46" t="s">
        <v>21</v>
      </c>
      <c r="B91" s="46">
        <v>70</v>
      </c>
      <c r="C91" s="46">
        <v>495.83441154479982</v>
      </c>
      <c r="D91" s="46">
        <v>7.0833487363542833</v>
      </c>
      <c r="E91" s="46">
        <v>9.2128819636428112</v>
      </c>
    </row>
    <row r="94" spans="1:7" ht="19" thickBot="1">
      <c r="A94" t="s">
        <v>54</v>
      </c>
    </row>
    <row r="95" spans="1:7">
      <c r="A95" s="47" t="s">
        <v>55</v>
      </c>
      <c r="B95" s="47" t="s">
        <v>56</v>
      </c>
      <c r="C95" s="47" t="s">
        <v>57</v>
      </c>
      <c r="D95" s="47" t="s">
        <v>58</v>
      </c>
      <c r="E95" s="47" t="s">
        <v>22</v>
      </c>
      <c r="F95" s="47" t="s">
        <v>59</v>
      </c>
      <c r="G95" s="47" t="s">
        <v>60</v>
      </c>
    </row>
    <row r="96" spans="1:7">
      <c r="A96" t="s">
        <v>61</v>
      </c>
      <c r="B96">
        <v>356.79411815528033</v>
      </c>
      <c r="C96">
        <v>2</v>
      </c>
      <c r="D96">
        <v>178.39705907764017</v>
      </c>
      <c r="E96">
        <v>23.126862720492785</v>
      </c>
      <c r="F96">
        <v>4.0185834266963599E-9</v>
      </c>
      <c r="G96">
        <v>3.0780573691453137</v>
      </c>
    </row>
    <row r="97" spans="1:7">
      <c r="A97" t="s">
        <v>62</v>
      </c>
      <c r="B97">
        <v>856.2369136247512</v>
      </c>
      <c r="C97">
        <v>111</v>
      </c>
      <c r="D97">
        <v>7.7138460686914518</v>
      </c>
    </row>
    <row r="99" spans="1:7" ht="19" thickBot="1">
      <c r="A99" s="46" t="s">
        <v>63</v>
      </c>
      <c r="B99" s="46">
        <v>1213.0310317800315</v>
      </c>
      <c r="C99" s="46">
        <v>113</v>
      </c>
      <c r="D99" s="46"/>
      <c r="E99" s="46"/>
      <c r="F99" s="46"/>
      <c r="G99" s="46"/>
    </row>
    <row r="102" spans="1:7">
      <c r="A102" t="s">
        <v>46</v>
      </c>
      <c r="C102" t="s">
        <v>70</v>
      </c>
    </row>
    <row r="104" spans="1:7" ht="19" thickBot="1">
      <c r="A104" t="s">
        <v>47</v>
      </c>
    </row>
    <row r="105" spans="1:7">
      <c r="A105" s="47" t="s">
        <v>48</v>
      </c>
      <c r="B105" s="47" t="s">
        <v>49</v>
      </c>
      <c r="C105" s="47" t="s">
        <v>50</v>
      </c>
      <c r="D105" s="47" t="s">
        <v>51</v>
      </c>
      <c r="E105" s="47" t="s">
        <v>52</v>
      </c>
    </row>
    <row r="106" spans="1:7">
      <c r="A106" t="s">
        <v>53</v>
      </c>
      <c r="B106">
        <v>22</v>
      </c>
      <c r="C106">
        <v>221.42499229431149</v>
      </c>
      <c r="D106">
        <v>10.064772377014158</v>
      </c>
      <c r="E106">
        <v>4.0974989258037393</v>
      </c>
    </row>
    <row r="107" spans="1:7">
      <c r="A107" t="s">
        <v>27</v>
      </c>
      <c r="B107">
        <v>22</v>
      </c>
      <c r="C107">
        <v>204.89469165802004</v>
      </c>
      <c r="D107">
        <v>9.3133950753645465</v>
      </c>
      <c r="E107">
        <v>2.3615724613547564</v>
      </c>
    </row>
    <row r="108" spans="1:7" ht="19" thickBot="1">
      <c r="A108" s="46" t="s">
        <v>21</v>
      </c>
      <c r="B108" s="46">
        <v>70</v>
      </c>
      <c r="C108" s="46">
        <v>350.73971424102785</v>
      </c>
      <c r="D108" s="46">
        <v>5.0105673463003981</v>
      </c>
      <c r="E108" s="46">
        <v>3.3375712018345625</v>
      </c>
    </row>
    <row r="111" spans="1:7" ht="19" thickBot="1">
      <c r="A111" t="s">
        <v>54</v>
      </c>
    </row>
    <row r="112" spans="1:7">
      <c r="A112" s="47" t="s">
        <v>55</v>
      </c>
      <c r="B112" s="47" t="s">
        <v>56</v>
      </c>
      <c r="C112" s="47" t="s">
        <v>57</v>
      </c>
      <c r="D112" s="47" t="s">
        <v>58</v>
      </c>
      <c r="E112" s="47" t="s">
        <v>22</v>
      </c>
      <c r="F112" s="47" t="s">
        <v>59</v>
      </c>
      <c r="G112" s="47" t="s">
        <v>60</v>
      </c>
    </row>
    <row r="113" spans="1:7">
      <c r="A113" t="s">
        <v>61</v>
      </c>
      <c r="B113">
        <v>597.58417434394255</v>
      </c>
      <c r="C113">
        <v>2</v>
      </c>
      <c r="D113">
        <v>298.79208717197127</v>
      </c>
      <c r="E113">
        <v>90.633885565697739</v>
      </c>
      <c r="F113">
        <v>4.6193816077782475E-24</v>
      </c>
      <c r="G113">
        <v>3.0780573691453137</v>
      </c>
    </row>
    <row r="114" spans="1:7">
      <c r="A114" t="s">
        <v>62</v>
      </c>
      <c r="B114">
        <v>365.93291205691327</v>
      </c>
      <c r="C114">
        <v>111</v>
      </c>
      <c r="D114">
        <v>3.2966929014136332</v>
      </c>
    </row>
    <row r="116" spans="1:7" ht="19" thickBot="1">
      <c r="A116" s="46" t="s">
        <v>63</v>
      </c>
      <c r="B116" s="46">
        <v>963.51708640085576</v>
      </c>
      <c r="C116" s="46">
        <v>113</v>
      </c>
      <c r="D116" s="46"/>
      <c r="E116" s="46"/>
      <c r="F116" s="46"/>
      <c r="G116" s="46"/>
    </row>
    <row r="119" spans="1:7">
      <c r="A119" t="s">
        <v>46</v>
      </c>
      <c r="C119" t="s">
        <v>72</v>
      </c>
    </row>
    <row r="121" spans="1:7" ht="19" thickBot="1">
      <c r="A121" t="s">
        <v>47</v>
      </c>
    </row>
    <row r="122" spans="1:7">
      <c r="A122" s="47" t="s">
        <v>48</v>
      </c>
      <c r="B122" s="47" t="s">
        <v>49</v>
      </c>
      <c r="C122" s="47" t="s">
        <v>50</v>
      </c>
      <c r="D122" s="47" t="s">
        <v>51</v>
      </c>
      <c r="E122" s="47" t="s">
        <v>52</v>
      </c>
    </row>
    <row r="123" spans="1:7">
      <c r="A123" t="s">
        <v>53</v>
      </c>
      <c r="B123">
        <v>22</v>
      </c>
      <c r="C123">
        <v>156.20477943420411</v>
      </c>
      <c r="D123">
        <v>7.1002172470092777</v>
      </c>
      <c r="E123">
        <v>4.7555219635156565</v>
      </c>
    </row>
    <row r="124" spans="1:7">
      <c r="A124" t="s">
        <v>27</v>
      </c>
      <c r="B124">
        <v>22</v>
      </c>
      <c r="C124">
        <v>181.31264949798583</v>
      </c>
      <c r="D124">
        <v>8.2414840680902657</v>
      </c>
      <c r="E124">
        <v>5.0582212653890846</v>
      </c>
    </row>
    <row r="125" spans="1:7" ht="19" thickBot="1">
      <c r="A125" s="46" t="s">
        <v>21</v>
      </c>
      <c r="B125" s="46">
        <v>70</v>
      </c>
      <c r="C125" s="46">
        <v>315.55649574279789</v>
      </c>
      <c r="D125" s="46">
        <v>4.5079499391828266</v>
      </c>
      <c r="E125" s="46">
        <v>4.312995649283879</v>
      </c>
    </row>
    <row r="128" spans="1:7" ht="19" thickBot="1">
      <c r="A128" t="s">
        <v>54</v>
      </c>
    </row>
    <row r="129" spans="1:7">
      <c r="A129" s="47" t="s">
        <v>55</v>
      </c>
      <c r="B129" s="47" t="s">
        <v>56</v>
      </c>
      <c r="C129" s="47" t="s">
        <v>57</v>
      </c>
      <c r="D129" s="47" t="s">
        <v>58</v>
      </c>
      <c r="E129" s="47" t="s">
        <v>22</v>
      </c>
      <c r="F129" s="47" t="s">
        <v>59</v>
      </c>
      <c r="G129" s="47" t="s">
        <v>60</v>
      </c>
    </row>
    <row r="130" spans="1:7">
      <c r="A130" t="s">
        <v>61</v>
      </c>
      <c r="B130">
        <v>284.60930302658841</v>
      </c>
      <c r="C130">
        <v>2</v>
      </c>
      <c r="D130">
        <v>142.3046515132942</v>
      </c>
      <c r="E130">
        <v>31.360486556582057</v>
      </c>
      <c r="F130">
        <v>1.5981784010449322E-11</v>
      </c>
      <c r="G130">
        <v>3.0780573691453137</v>
      </c>
    </row>
    <row r="131" spans="1:7">
      <c r="A131" t="s">
        <v>62</v>
      </c>
      <c r="B131">
        <v>503.68530760758784</v>
      </c>
      <c r="C131">
        <v>111</v>
      </c>
      <c r="D131">
        <v>4.5377054739422329</v>
      </c>
    </row>
    <row r="133" spans="1:7" ht="19" thickBot="1">
      <c r="A133" s="46" t="s">
        <v>63</v>
      </c>
      <c r="B133" s="46">
        <v>788.29461063417625</v>
      </c>
      <c r="C133" s="46">
        <v>113</v>
      </c>
      <c r="D133" s="46"/>
      <c r="E133" s="46"/>
      <c r="F133" s="46"/>
      <c r="G133" s="46"/>
    </row>
    <row r="136" spans="1:7">
      <c r="A136" t="s">
        <v>46</v>
      </c>
      <c r="C136" t="s">
        <v>74</v>
      </c>
    </row>
    <row r="138" spans="1:7" ht="19" thickBot="1">
      <c r="A138" t="s">
        <v>47</v>
      </c>
    </row>
    <row r="139" spans="1:7">
      <c r="A139" s="47" t="s">
        <v>48</v>
      </c>
      <c r="B139" s="47" t="s">
        <v>49</v>
      </c>
      <c r="C139" s="47" t="s">
        <v>50</v>
      </c>
      <c r="D139" s="47" t="s">
        <v>51</v>
      </c>
      <c r="E139" s="47" t="s">
        <v>52</v>
      </c>
    </row>
    <row r="140" spans="1:7">
      <c r="A140" t="s">
        <v>53</v>
      </c>
      <c r="B140">
        <v>22</v>
      </c>
      <c r="C140">
        <v>243.8172838973999</v>
      </c>
      <c r="D140">
        <v>11.082603813518178</v>
      </c>
      <c r="E140">
        <v>4.1649796837153925</v>
      </c>
    </row>
    <row r="141" spans="1:7">
      <c r="A141" t="s">
        <v>27</v>
      </c>
      <c r="B141">
        <v>22</v>
      </c>
      <c r="C141">
        <v>240.56320182800295</v>
      </c>
      <c r="D141">
        <v>10.934690992181952</v>
      </c>
      <c r="E141">
        <v>1.8507933095787892</v>
      </c>
    </row>
    <row r="142" spans="1:7" ht="19" thickBot="1">
      <c r="A142" s="46" t="s">
        <v>21</v>
      </c>
      <c r="B142" s="46">
        <v>70</v>
      </c>
      <c r="C142" s="46">
        <v>507.69896350860597</v>
      </c>
      <c r="D142" s="46">
        <v>7.2528423358372285</v>
      </c>
      <c r="E142" s="46">
        <v>4.5351016706451999</v>
      </c>
    </row>
    <row r="145" spans="1:7" ht="19" thickBot="1">
      <c r="A145" t="s">
        <v>54</v>
      </c>
    </row>
    <row r="146" spans="1:7">
      <c r="A146" s="47" t="s">
        <v>55</v>
      </c>
      <c r="B146" s="47" t="s">
        <v>56</v>
      </c>
      <c r="C146" s="47" t="s">
        <v>57</v>
      </c>
      <c r="D146" s="47" t="s">
        <v>58</v>
      </c>
      <c r="E146" s="47" t="s">
        <v>22</v>
      </c>
      <c r="F146" s="47" t="s">
        <v>59</v>
      </c>
      <c r="G146" s="47" t="s">
        <v>60</v>
      </c>
    </row>
    <row r="147" spans="1:7">
      <c r="A147" t="s">
        <v>61</v>
      </c>
      <c r="B147">
        <v>381.35207110978286</v>
      </c>
      <c r="C147">
        <v>2</v>
      </c>
      <c r="D147">
        <v>190.67603555489143</v>
      </c>
      <c r="E147">
        <v>48.184139870380307</v>
      </c>
      <c r="F147">
        <v>8.6342832067796118E-16</v>
      </c>
      <c r="G147">
        <v>3.0780573691453137</v>
      </c>
    </row>
    <row r="148" spans="1:7">
      <c r="A148" t="s">
        <v>62</v>
      </c>
      <c r="B148">
        <v>439.25324813369753</v>
      </c>
      <c r="C148">
        <v>111</v>
      </c>
      <c r="D148">
        <v>3.9572364696729507</v>
      </c>
    </row>
    <row r="150" spans="1:7" ht="19" thickBot="1">
      <c r="A150" s="46" t="s">
        <v>63</v>
      </c>
      <c r="B150" s="46">
        <v>820.60531924348038</v>
      </c>
      <c r="C150" s="46">
        <v>113</v>
      </c>
      <c r="D150" s="46"/>
      <c r="E150" s="46"/>
      <c r="F150" s="46"/>
      <c r="G150" s="46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1636-C94B-0640-946E-1BA0A556EBF7}">
  <dimension ref="A1:AB122"/>
  <sheetViews>
    <sheetView topLeftCell="A63" workbookViewId="0">
      <selection activeCell="N125" sqref="N125"/>
    </sheetView>
  </sheetViews>
  <sheetFormatPr baseColWidth="10" defaultRowHeight="18"/>
  <cols>
    <col min="1" max="1" width="6.140625" style="10" bestFit="1" customWidth="1"/>
    <col min="2" max="26" width="9.5703125" style="10" customWidth="1"/>
  </cols>
  <sheetData>
    <row r="1" spans="1:28" ht="19" thickBot="1">
      <c r="A1" s="1" t="s">
        <v>0</v>
      </c>
      <c r="B1" s="2" t="s">
        <v>34</v>
      </c>
      <c r="C1" s="6"/>
      <c r="D1" s="6"/>
      <c r="E1" s="5" t="s">
        <v>35</v>
      </c>
      <c r="F1" s="5"/>
      <c r="G1" s="5"/>
      <c r="H1" s="5" t="s">
        <v>36</v>
      </c>
      <c r="I1" s="5"/>
      <c r="J1" s="5"/>
      <c r="K1" s="5" t="s">
        <v>37</v>
      </c>
      <c r="L1" s="6"/>
      <c r="M1" s="6"/>
      <c r="N1" s="6" t="s">
        <v>38</v>
      </c>
      <c r="O1" s="6"/>
      <c r="P1" s="6"/>
      <c r="Q1" s="6" t="s">
        <v>39</v>
      </c>
      <c r="R1" s="6"/>
      <c r="S1" s="6"/>
      <c r="T1" s="6" t="s">
        <v>40</v>
      </c>
      <c r="U1" s="6"/>
      <c r="V1" s="6"/>
      <c r="W1" s="6" t="s">
        <v>41</v>
      </c>
      <c r="X1" s="6"/>
      <c r="Y1" s="6"/>
      <c r="Z1" s="6" t="s">
        <v>42</v>
      </c>
    </row>
    <row r="2" spans="1:28">
      <c r="A2" s="1"/>
      <c r="B2" s="27" t="s">
        <v>43</v>
      </c>
      <c r="C2" s="27" t="s">
        <v>44</v>
      </c>
      <c r="D2" s="27" t="s">
        <v>16</v>
      </c>
      <c r="E2" s="27" t="s">
        <v>43</v>
      </c>
      <c r="F2" s="27" t="s">
        <v>44</v>
      </c>
      <c r="G2" s="27" t="s">
        <v>16</v>
      </c>
      <c r="H2" s="27" t="s">
        <v>43</v>
      </c>
      <c r="I2" s="27" t="s">
        <v>44</v>
      </c>
      <c r="J2" s="27" t="s">
        <v>16</v>
      </c>
      <c r="K2" s="27" t="s">
        <v>43</v>
      </c>
      <c r="L2" s="27" t="s">
        <v>44</v>
      </c>
      <c r="M2" s="27" t="s">
        <v>16</v>
      </c>
      <c r="N2" s="27" t="s">
        <v>43</v>
      </c>
      <c r="O2" s="27" t="s">
        <v>44</v>
      </c>
      <c r="P2" s="27" t="s">
        <v>16</v>
      </c>
      <c r="Q2" s="27" t="s">
        <v>43</v>
      </c>
      <c r="R2" s="27" t="s">
        <v>44</v>
      </c>
      <c r="S2" s="27" t="s">
        <v>16</v>
      </c>
      <c r="T2" s="27" t="s">
        <v>43</v>
      </c>
      <c r="U2" s="27" t="s">
        <v>44</v>
      </c>
      <c r="V2" s="27" t="s">
        <v>16</v>
      </c>
      <c r="W2" s="27" t="s">
        <v>43</v>
      </c>
      <c r="X2" s="27" t="s">
        <v>44</v>
      </c>
      <c r="Y2" s="27" t="s">
        <v>16</v>
      </c>
      <c r="Z2" s="27" t="s">
        <v>43</v>
      </c>
      <c r="AA2" s="27" t="s">
        <v>44</v>
      </c>
      <c r="AB2" s="27" t="s">
        <v>16</v>
      </c>
    </row>
    <row r="3" spans="1:28">
      <c r="A3" s="8" t="s">
        <v>13</v>
      </c>
      <c r="B3" s="22">
        <v>0.96000000000000085</v>
      </c>
      <c r="C3" s="22">
        <v>-0.12999999999999901</v>
      </c>
      <c r="D3" s="22"/>
      <c r="E3" s="22">
        <v>0.22000000000000242</v>
      </c>
      <c r="F3" s="22">
        <v>-0.83999999999999986</v>
      </c>
      <c r="G3" s="22"/>
      <c r="H3" s="22">
        <v>4.3999999999999986</v>
      </c>
      <c r="I3" s="22">
        <v>1.8499999999999979</v>
      </c>
      <c r="J3" s="22"/>
      <c r="K3" s="22">
        <v>-0.67999999999999972</v>
      </c>
      <c r="L3" s="22">
        <v>-1.6699999999999982</v>
      </c>
      <c r="M3" s="22"/>
      <c r="N3" s="22">
        <v>13.190000000000001</v>
      </c>
      <c r="O3" s="22">
        <v>6.860000000000003</v>
      </c>
      <c r="P3" s="22"/>
      <c r="Q3" s="22">
        <v>6.5800000000000018</v>
      </c>
      <c r="R3" s="22">
        <v>6.129999999999999</v>
      </c>
      <c r="S3" s="22"/>
      <c r="T3" s="22">
        <v>13.100000000000001</v>
      </c>
      <c r="U3" s="22">
        <v>8.5500000000000007</v>
      </c>
      <c r="V3" s="22"/>
      <c r="W3" s="22">
        <v>6.0700000000000038</v>
      </c>
      <c r="X3" s="22">
        <v>6.1099999999999994</v>
      </c>
      <c r="Y3" s="22"/>
      <c r="Z3" s="22">
        <v>11.760000000000002</v>
      </c>
      <c r="AA3" s="22">
        <v>9.2900000000000027</v>
      </c>
    </row>
    <row r="4" spans="1:28">
      <c r="A4" s="8" t="s">
        <v>13</v>
      </c>
      <c r="B4" s="22">
        <v>1.9199999999999982</v>
      </c>
      <c r="C4" s="22">
        <v>3.0000000000001137E-2</v>
      </c>
      <c r="D4" s="22"/>
      <c r="E4" s="22">
        <v>1.3900000000000006</v>
      </c>
      <c r="F4" s="22">
        <v>-1.0100000000000016</v>
      </c>
      <c r="G4" s="22"/>
      <c r="H4" s="22">
        <v>5.57</v>
      </c>
      <c r="I4" s="22">
        <v>1.2100000000000009</v>
      </c>
      <c r="J4" s="22"/>
      <c r="K4" s="22">
        <v>-5.9999999999998721E-2</v>
      </c>
      <c r="L4" s="22">
        <v>-2.0600000000000023</v>
      </c>
      <c r="M4" s="22"/>
      <c r="N4" s="22">
        <v>13.600000000000001</v>
      </c>
      <c r="O4" s="22">
        <v>11.14</v>
      </c>
      <c r="P4" s="22"/>
      <c r="Q4" s="22">
        <v>7.8399999999999963</v>
      </c>
      <c r="R4" s="22">
        <v>7.4399999999999977</v>
      </c>
      <c r="S4" s="22"/>
      <c r="T4" s="22">
        <v>13.16</v>
      </c>
      <c r="U4" s="22">
        <v>8.0100000000000016</v>
      </c>
      <c r="V4" s="22"/>
      <c r="W4" s="22">
        <v>7.5500000000000043</v>
      </c>
      <c r="X4" s="22">
        <v>6.5500000000000007</v>
      </c>
      <c r="Y4" s="22"/>
      <c r="Z4" s="22">
        <v>12.79</v>
      </c>
      <c r="AA4" s="22">
        <v>11.18</v>
      </c>
    </row>
    <row r="5" spans="1:28">
      <c r="A5" s="8" t="s">
        <v>13</v>
      </c>
      <c r="B5" s="22">
        <v>2.2900000000000027</v>
      </c>
      <c r="C5" s="22">
        <v>0.20000000000000284</v>
      </c>
      <c r="D5" s="22"/>
      <c r="E5" s="22">
        <v>1.6199999999999974</v>
      </c>
      <c r="F5" s="22">
        <v>-1.3500000000000014</v>
      </c>
      <c r="G5" s="22"/>
      <c r="H5" s="22">
        <v>3.8999999999999986</v>
      </c>
      <c r="I5" s="22">
        <v>1.6600000000000001</v>
      </c>
      <c r="J5" s="22"/>
      <c r="K5" s="22">
        <v>-0.30000000000000071</v>
      </c>
      <c r="L5" s="22">
        <v>-1.8000000000000007</v>
      </c>
      <c r="M5" s="22"/>
      <c r="N5" s="22">
        <v>13.2</v>
      </c>
      <c r="O5" s="22">
        <v>11.509999999999998</v>
      </c>
      <c r="P5" s="22"/>
      <c r="Q5" s="22">
        <v>7.5300000000000011</v>
      </c>
      <c r="R5" s="22">
        <v>8.8099999999999987</v>
      </c>
      <c r="S5" s="22"/>
      <c r="T5" s="22">
        <v>13.219999999999999</v>
      </c>
      <c r="U5" s="22">
        <v>11.280000000000005</v>
      </c>
      <c r="V5" s="22"/>
      <c r="W5" s="22">
        <v>7.1400000000000041</v>
      </c>
      <c r="X5" s="22">
        <v>6.629999999999999</v>
      </c>
      <c r="Y5" s="22"/>
      <c r="Z5" s="22">
        <v>13.420000000000002</v>
      </c>
      <c r="AA5" s="22">
        <v>11.059999999999999</v>
      </c>
    </row>
    <row r="6" spans="1:28">
      <c r="A6" s="8" t="s">
        <v>13</v>
      </c>
      <c r="B6" s="22">
        <v>2.09</v>
      </c>
      <c r="C6" s="22">
        <v>2.16</v>
      </c>
      <c r="D6" s="22"/>
      <c r="E6" s="22">
        <v>1.6799999999999997</v>
      </c>
      <c r="F6" s="22">
        <v>0.33999999999999986</v>
      </c>
      <c r="G6" s="22"/>
      <c r="H6" s="22">
        <v>7.9099999999999966</v>
      </c>
      <c r="I6" s="22">
        <v>3.5400000000000027</v>
      </c>
      <c r="J6" s="22"/>
      <c r="K6" s="22">
        <v>0.90000000000000213</v>
      </c>
      <c r="L6" s="22">
        <v>-1.5300000000000011</v>
      </c>
      <c r="M6" s="22"/>
      <c r="N6" s="22">
        <v>13.68</v>
      </c>
      <c r="O6" s="22">
        <v>11.09</v>
      </c>
      <c r="P6" s="22"/>
      <c r="Q6" s="22">
        <v>7.9400000000000013</v>
      </c>
      <c r="R6" s="22">
        <v>9.5499999999999972</v>
      </c>
      <c r="S6" s="22"/>
      <c r="T6" s="22">
        <v>13.89</v>
      </c>
      <c r="U6" s="22">
        <v>9.879999999999999</v>
      </c>
      <c r="V6" s="22"/>
      <c r="W6" s="22">
        <v>8.0399999999999991</v>
      </c>
      <c r="X6" s="22">
        <v>7.7799999999999976</v>
      </c>
      <c r="Y6" s="22"/>
      <c r="Z6" s="22">
        <v>13.7</v>
      </c>
      <c r="AA6" s="22">
        <v>12.639999999999997</v>
      </c>
    </row>
    <row r="7" spans="1:28">
      <c r="A7" s="8" t="s">
        <v>13</v>
      </c>
      <c r="B7" s="22">
        <v>3.259999999999998</v>
      </c>
      <c r="C7" s="22">
        <v>1.1199999999999974</v>
      </c>
      <c r="D7" s="22"/>
      <c r="E7" s="22">
        <v>2.4399999999999977</v>
      </c>
      <c r="F7" s="22">
        <v>-0.17000000000000171</v>
      </c>
      <c r="G7" s="22"/>
      <c r="H7" s="22">
        <v>5.8900000000000006</v>
      </c>
      <c r="I7" s="22">
        <v>1.620000000000001</v>
      </c>
      <c r="J7" s="22"/>
      <c r="K7" s="22">
        <v>0.37000000000000099</v>
      </c>
      <c r="L7" s="22">
        <v>-2.5399999999999991</v>
      </c>
      <c r="M7" s="22"/>
      <c r="N7" s="22">
        <v>13.39</v>
      </c>
      <c r="O7" s="22">
        <v>10.489999999999998</v>
      </c>
      <c r="P7" s="22"/>
      <c r="Q7" s="22">
        <v>10.23</v>
      </c>
      <c r="R7" s="22">
        <v>9.2399999999999984</v>
      </c>
      <c r="S7" s="22"/>
      <c r="T7" s="22">
        <v>12.759999999999998</v>
      </c>
      <c r="U7" s="22">
        <v>8.480000000000004</v>
      </c>
      <c r="V7" s="22"/>
      <c r="W7" s="22">
        <v>1.5700000000000003</v>
      </c>
      <c r="X7" s="22">
        <v>8.1900000000000013</v>
      </c>
      <c r="Y7" s="22"/>
      <c r="Z7" s="22">
        <v>13.34</v>
      </c>
      <c r="AA7" s="22">
        <v>11.25</v>
      </c>
    </row>
    <row r="8" spans="1:28">
      <c r="A8" s="8" t="s">
        <v>13</v>
      </c>
      <c r="B8" s="22">
        <v>2.8099999999999987</v>
      </c>
      <c r="C8" s="22">
        <v>3.2431783676147461</v>
      </c>
      <c r="D8" s="22"/>
      <c r="E8" s="22">
        <v>2.2300000000000004</v>
      </c>
      <c r="F8" s="22">
        <v>3.2791900634765625</v>
      </c>
      <c r="G8" s="22"/>
      <c r="H8" s="22">
        <v>2.6999999999999993</v>
      </c>
      <c r="I8" s="22">
        <v>3.2859535217285156</v>
      </c>
      <c r="J8" s="22"/>
      <c r="K8" s="22">
        <v>-1.6899999999999977</v>
      </c>
      <c r="L8" s="22">
        <v>2.9534435272216797</v>
      </c>
      <c r="M8" s="22"/>
      <c r="N8" s="22">
        <v>12.059999999999999</v>
      </c>
      <c r="O8" s="22">
        <v>12.496962547302246</v>
      </c>
      <c r="P8" s="22"/>
      <c r="Q8" s="22">
        <v>10.359999999999996</v>
      </c>
      <c r="R8" s="22">
        <v>14.130120277404785</v>
      </c>
      <c r="S8" s="22"/>
      <c r="T8" s="22">
        <v>12.129999999999999</v>
      </c>
      <c r="U8" s="22">
        <v>13.229438781738281</v>
      </c>
      <c r="V8" s="22"/>
      <c r="W8" s="22">
        <v>8.5500000000000007</v>
      </c>
      <c r="X8" s="22">
        <v>12.203014373779297</v>
      </c>
      <c r="Y8" s="22"/>
      <c r="Z8" s="22">
        <v>12.079999999999998</v>
      </c>
      <c r="AA8" s="22">
        <v>13.880783081054688</v>
      </c>
    </row>
    <row r="9" spans="1:28">
      <c r="A9" s="8" t="s">
        <v>13</v>
      </c>
      <c r="B9" s="22">
        <v>-6.0000000000002274E-2</v>
      </c>
      <c r="C9" s="22">
        <v>4.6022167205810547</v>
      </c>
      <c r="D9" s="22"/>
      <c r="E9" s="22">
        <v>-0.74000000000000199</v>
      </c>
      <c r="F9" s="22">
        <v>4.2160377502441406</v>
      </c>
      <c r="G9" s="22"/>
      <c r="H9" s="22">
        <v>0.68999999999999773</v>
      </c>
      <c r="I9" s="22">
        <v>3.1519327163696289</v>
      </c>
      <c r="J9" s="22"/>
      <c r="K9" s="22">
        <v>-1.6099999999999994</v>
      </c>
      <c r="L9" s="22">
        <v>2.6121463775634766</v>
      </c>
      <c r="M9" s="22"/>
      <c r="N9" s="22">
        <v>10.57</v>
      </c>
      <c r="O9" s="22">
        <v>12.204022407531738</v>
      </c>
      <c r="P9" s="22"/>
      <c r="Q9" s="22">
        <v>6.18</v>
      </c>
      <c r="R9" s="22">
        <v>13.857253074645996</v>
      </c>
      <c r="S9" s="22"/>
      <c r="T9" s="22">
        <v>7.3500000000000014</v>
      </c>
      <c r="U9" s="22">
        <v>12.482229232788086</v>
      </c>
      <c r="V9" s="22"/>
      <c r="W9" s="22">
        <v>5.48</v>
      </c>
      <c r="X9" s="22">
        <v>13.819035530090332</v>
      </c>
      <c r="Y9" s="22"/>
      <c r="Z9" s="22">
        <v>8.75</v>
      </c>
      <c r="AA9" s="22">
        <v>12.992779731750488</v>
      </c>
    </row>
    <row r="10" spans="1:28">
      <c r="A10" s="8" t="s">
        <v>13</v>
      </c>
      <c r="B10" s="22">
        <v>1.8200000000000003</v>
      </c>
      <c r="C10" s="22">
        <v>4.0407400131225586</v>
      </c>
      <c r="D10" s="22"/>
      <c r="E10" s="22">
        <v>0.69000000000000128</v>
      </c>
      <c r="F10" s="22">
        <v>3.4197578430175781</v>
      </c>
      <c r="G10" s="22"/>
      <c r="H10" s="22">
        <v>1.4699999999999989</v>
      </c>
      <c r="I10" s="22">
        <v>1.7278585433959961</v>
      </c>
      <c r="J10" s="22"/>
      <c r="K10" s="22">
        <v>-1.2799999999999976</v>
      </c>
      <c r="L10" s="22">
        <v>0.35496425628662109</v>
      </c>
      <c r="M10" s="22"/>
      <c r="N10" s="22">
        <v>11.350000000000001</v>
      </c>
      <c r="O10" s="22">
        <v>12.59409236907959</v>
      </c>
      <c r="P10" s="22"/>
      <c r="Q10" s="22">
        <v>9</v>
      </c>
      <c r="R10" s="22">
        <v>14.229954719543457</v>
      </c>
      <c r="S10" s="22"/>
      <c r="T10" s="22">
        <v>10</v>
      </c>
      <c r="U10" s="22">
        <v>7.8882646560668945</v>
      </c>
      <c r="V10" s="22"/>
      <c r="W10" s="22">
        <v>7.07</v>
      </c>
      <c r="X10" s="22">
        <v>11.978949546813965</v>
      </c>
      <c r="Y10" s="22"/>
      <c r="Z10" s="22">
        <v>11.55</v>
      </c>
      <c r="AA10" s="22">
        <v>12.175814628601074</v>
      </c>
    </row>
    <row r="11" spans="1:28">
      <c r="A11" s="8" t="s">
        <v>13</v>
      </c>
      <c r="B11" s="22">
        <v>2.2100000000000009</v>
      </c>
      <c r="C11" s="22">
        <v>2.461033821105957</v>
      </c>
      <c r="D11" s="22"/>
      <c r="E11" s="22">
        <v>0.9599999999999973</v>
      </c>
      <c r="F11" s="22">
        <v>1.3602180480957031</v>
      </c>
      <c r="G11" s="22"/>
      <c r="H11" s="22">
        <v>1.9700000000000024</v>
      </c>
      <c r="I11" s="22">
        <v>3.1905450820922852</v>
      </c>
      <c r="J11" s="22"/>
      <c r="K11" s="22">
        <v>-0.71000000000000085</v>
      </c>
      <c r="L11" s="22">
        <v>0.97808742523193359</v>
      </c>
      <c r="M11" s="22"/>
      <c r="N11" s="22">
        <v>12.27</v>
      </c>
      <c r="O11" s="22">
        <v>12.613969802856445</v>
      </c>
      <c r="P11" s="22"/>
      <c r="Q11" s="22">
        <v>8.7100000000000009</v>
      </c>
      <c r="R11" s="22">
        <v>12.055121421813965</v>
      </c>
      <c r="S11" s="22"/>
      <c r="T11" s="22">
        <v>9.259999999999998</v>
      </c>
      <c r="U11" s="22">
        <v>10.244927406311035</v>
      </c>
      <c r="V11" s="22"/>
      <c r="W11" s="22">
        <v>8.1199999999999974</v>
      </c>
      <c r="X11" s="22">
        <v>7.0592575073242188</v>
      </c>
      <c r="Y11" s="22"/>
      <c r="Z11" s="22">
        <v>11.489999999999998</v>
      </c>
      <c r="AA11" s="22">
        <v>11.034002304077148</v>
      </c>
    </row>
    <row r="12" spans="1:28">
      <c r="A12" s="8" t="s">
        <v>13</v>
      </c>
      <c r="B12" s="22">
        <v>1.6500000000000021</v>
      </c>
      <c r="C12" s="22">
        <v>1.3206548690795898</v>
      </c>
      <c r="D12" s="22"/>
      <c r="E12" s="22">
        <v>0.51000000000000156</v>
      </c>
      <c r="F12" s="22">
        <v>0.29715538024902344</v>
      </c>
      <c r="G12" s="22"/>
      <c r="H12" s="22">
        <v>1.879999999999999</v>
      </c>
      <c r="I12" s="22">
        <v>0.61502742767333984</v>
      </c>
      <c r="J12" s="22"/>
      <c r="K12" s="22">
        <v>-1.8000000000000007</v>
      </c>
      <c r="L12" s="22">
        <v>0.13123130798339844</v>
      </c>
      <c r="M12" s="22"/>
      <c r="N12" s="22">
        <v>11.850000000000001</v>
      </c>
      <c r="O12" s="22">
        <v>11.605392456054688</v>
      </c>
      <c r="P12" s="22"/>
      <c r="Q12" s="22">
        <v>12.649999999999999</v>
      </c>
      <c r="R12" s="22">
        <v>9.0736246109008789</v>
      </c>
      <c r="S12" s="22"/>
      <c r="T12" s="22">
        <v>11.100000000000001</v>
      </c>
      <c r="U12" s="22">
        <v>8.1869516372680664</v>
      </c>
      <c r="V12" s="22"/>
      <c r="W12" s="22">
        <v>9.2099999999999973</v>
      </c>
      <c r="X12" s="22">
        <v>5.85418701171875</v>
      </c>
      <c r="Y12" s="22"/>
      <c r="Z12" s="22">
        <v>14.399999999999999</v>
      </c>
      <c r="AA12" s="22">
        <v>9.0125293731689453</v>
      </c>
    </row>
    <row r="13" spans="1:28">
      <c r="A13" s="8" t="s">
        <v>24</v>
      </c>
      <c r="B13" s="22">
        <v>3.0647125244140625</v>
      </c>
      <c r="C13" s="22">
        <v>2.2712440490722656</v>
      </c>
      <c r="D13" s="22"/>
      <c r="E13" s="22">
        <v>0.54457759857177734</v>
      </c>
      <c r="F13" s="22">
        <v>-0.80243968963623047</v>
      </c>
      <c r="G13" s="22"/>
      <c r="H13" s="22">
        <v>2.0786638259887695</v>
      </c>
      <c r="I13" s="22">
        <v>1.2470769882202148</v>
      </c>
      <c r="J13" s="22"/>
      <c r="K13" s="22">
        <v>9.5386505126953125E-3</v>
      </c>
      <c r="L13" s="22">
        <v>-0.50947189331054688</v>
      </c>
      <c r="M13" s="22"/>
      <c r="N13" s="22">
        <v>12.15234375</v>
      </c>
      <c r="O13" s="22">
        <v>12.217670440673828</v>
      </c>
      <c r="P13" s="22"/>
      <c r="Q13" s="22">
        <v>10.805558204650879</v>
      </c>
      <c r="R13" s="22">
        <v>10.6558837890625</v>
      </c>
      <c r="S13" s="22"/>
      <c r="T13" s="22">
        <v>8.4136142730712891</v>
      </c>
      <c r="U13" s="22">
        <v>7.3647356033325195</v>
      </c>
      <c r="V13" s="22"/>
      <c r="W13" s="22">
        <v>7.7209596633911133</v>
      </c>
      <c r="X13" s="22">
        <v>7.1024723052978516</v>
      </c>
      <c r="Y13" s="22"/>
      <c r="Z13" s="22">
        <v>9.2052125930786133</v>
      </c>
      <c r="AA13" s="22">
        <v>10.416609764099121</v>
      </c>
    </row>
    <row r="14" spans="1:28">
      <c r="A14" s="8" t="s">
        <v>24</v>
      </c>
      <c r="B14" s="22">
        <v>2.0811576843261719</v>
      </c>
      <c r="C14" s="22">
        <v>1.5259666442871094</v>
      </c>
      <c r="D14" s="22"/>
      <c r="E14" s="22">
        <v>0.41709613800048828</v>
      </c>
      <c r="F14" s="22">
        <v>0.78208255767822266</v>
      </c>
      <c r="G14" s="22"/>
      <c r="H14" s="22">
        <v>1.4851865768432617</v>
      </c>
      <c r="I14" s="22">
        <v>0.99627208709716797</v>
      </c>
      <c r="J14" s="22"/>
      <c r="K14" s="22">
        <v>0.18367290496826172</v>
      </c>
      <c r="L14" s="22">
        <v>0.48890209197998047</v>
      </c>
      <c r="M14" s="22"/>
      <c r="N14" s="22">
        <v>11.461564064025879</v>
      </c>
      <c r="O14" s="22">
        <v>12.28060245513916</v>
      </c>
      <c r="P14" s="22"/>
      <c r="Q14" s="22">
        <v>9.8657770156860352</v>
      </c>
      <c r="R14" s="22">
        <v>9.6373786926269531</v>
      </c>
      <c r="S14" s="22"/>
      <c r="T14" s="22">
        <v>8.2723722457885742</v>
      </c>
      <c r="U14" s="22">
        <v>8.7784538269042969</v>
      </c>
      <c r="V14" s="22"/>
      <c r="W14" s="22">
        <v>6.6976404190063477</v>
      </c>
      <c r="X14" s="22">
        <v>6.0686197280883789</v>
      </c>
      <c r="Y14" s="22"/>
      <c r="Z14" s="22">
        <v>8.290553092956543</v>
      </c>
      <c r="AA14" s="22">
        <v>8.9340105056762695</v>
      </c>
    </row>
    <row r="15" spans="1:28">
      <c r="A15" s="8" t="s">
        <v>24</v>
      </c>
      <c r="B15" s="22">
        <v>0.14429664611816406</v>
      </c>
      <c r="C15" s="22">
        <v>1.6003656387329102</v>
      </c>
      <c r="D15" s="22"/>
      <c r="E15" s="22">
        <v>-0.42573738098144531</v>
      </c>
      <c r="F15" s="22">
        <v>0.30074310302734375</v>
      </c>
      <c r="G15" s="22"/>
      <c r="H15" s="22">
        <v>1.6328191757202148</v>
      </c>
      <c r="I15" s="22">
        <v>0.93719482421875</v>
      </c>
      <c r="J15" s="22"/>
      <c r="K15" s="22">
        <v>1.9450950622558594</v>
      </c>
      <c r="L15" s="22">
        <v>0.35514068603515625</v>
      </c>
      <c r="M15" s="22"/>
      <c r="N15" s="22">
        <v>11.56974983215332</v>
      </c>
      <c r="O15" s="22">
        <v>11.679961204528809</v>
      </c>
      <c r="P15" s="22"/>
      <c r="Q15" s="22">
        <v>7.5440263748168945</v>
      </c>
      <c r="R15" s="22">
        <v>10.336877822875977</v>
      </c>
      <c r="S15" s="22"/>
      <c r="T15" s="22">
        <v>8.3256521224975586</v>
      </c>
      <c r="U15" s="22">
        <v>8.3460817337036133</v>
      </c>
      <c r="V15" s="22"/>
      <c r="W15" s="22">
        <v>4.6962003707885742</v>
      </c>
      <c r="X15" s="22">
        <v>6.2118453979492188</v>
      </c>
      <c r="Y15" s="22"/>
      <c r="Z15" s="22">
        <v>8.5717477798461914</v>
      </c>
      <c r="AA15" s="22">
        <v>9.5781536102294922</v>
      </c>
    </row>
    <row r="16" spans="1:28">
      <c r="A16" s="8" t="s">
        <v>24</v>
      </c>
      <c r="B16" s="22">
        <v>2.3701353073120117</v>
      </c>
      <c r="C16" s="22">
        <v>2.9287605285644531</v>
      </c>
      <c r="D16" s="22"/>
      <c r="E16" s="22">
        <v>1.1773567199707031</v>
      </c>
      <c r="F16" s="22">
        <v>0.98828220367431641</v>
      </c>
      <c r="G16" s="22"/>
      <c r="H16" s="22">
        <v>1.1434125900268555</v>
      </c>
      <c r="I16" s="22">
        <v>2.2527370452880682</v>
      </c>
      <c r="J16" s="22"/>
      <c r="K16" s="22">
        <v>0.85073661804199219</v>
      </c>
      <c r="L16" s="22">
        <v>2.465667724609375</v>
      </c>
      <c r="M16" s="22"/>
      <c r="N16" s="22">
        <v>11.521366119384766</v>
      </c>
      <c r="O16" s="22">
        <v>12.638477325439453</v>
      </c>
      <c r="P16" s="22"/>
      <c r="Q16" s="22">
        <v>10.318218231201172</v>
      </c>
      <c r="R16" s="22">
        <v>11.380885124206543</v>
      </c>
      <c r="S16" s="22"/>
      <c r="T16" s="22">
        <v>9.1365213394165039</v>
      </c>
      <c r="U16" s="22">
        <v>8.9928817749023438</v>
      </c>
      <c r="V16" s="22"/>
      <c r="W16" s="22">
        <v>5.9898796081542969</v>
      </c>
      <c r="X16" s="22">
        <v>6.6212863922119141</v>
      </c>
      <c r="Y16" s="22"/>
      <c r="Z16" s="22">
        <v>9.1678524017333984</v>
      </c>
      <c r="AA16" s="22">
        <v>9.9232378005981445</v>
      </c>
    </row>
    <row r="17" spans="1:28">
      <c r="A17" s="8" t="s">
        <v>24</v>
      </c>
      <c r="B17" s="22">
        <v>2.4551181793212891</v>
      </c>
      <c r="C17" s="22">
        <v>3.5794963836669922</v>
      </c>
      <c r="D17" s="22"/>
      <c r="E17" s="22">
        <v>0.62391567230224609</v>
      </c>
      <c r="F17" s="22">
        <v>1.5092506408691406</v>
      </c>
      <c r="G17" s="22"/>
      <c r="H17" s="22">
        <v>1.5136957168579102</v>
      </c>
      <c r="I17" s="22">
        <v>1.8206081390380859</v>
      </c>
      <c r="J17" s="22"/>
      <c r="K17" s="22">
        <v>1.2853784561157227</v>
      </c>
      <c r="L17" s="22">
        <v>2.2989883422851562</v>
      </c>
      <c r="M17" s="22"/>
      <c r="N17" s="22">
        <v>12.756267547607422</v>
      </c>
      <c r="O17" s="22">
        <v>12.561169624328613</v>
      </c>
      <c r="P17" s="22"/>
      <c r="Q17" s="22">
        <v>10.539032936096191</v>
      </c>
      <c r="R17" s="22">
        <v>11.438990592956543</v>
      </c>
      <c r="S17" s="22"/>
      <c r="T17" s="22">
        <v>9.6830511093139648</v>
      </c>
      <c r="U17" s="22">
        <v>8.1957330703735352</v>
      </c>
      <c r="V17" s="22"/>
      <c r="W17" s="22">
        <v>7.1834526062011719</v>
      </c>
      <c r="X17" s="22">
        <v>7.3706521987915039</v>
      </c>
      <c r="Y17" s="22"/>
      <c r="Z17" s="22">
        <v>9.0337104797363281</v>
      </c>
      <c r="AA17" s="22">
        <v>9.2832660675048828</v>
      </c>
    </row>
    <row r="18" spans="1:28">
      <c r="A18" s="8" t="s">
        <v>24</v>
      </c>
      <c r="B18" s="22">
        <v>2.6733522415161133</v>
      </c>
      <c r="C18" s="22">
        <v>3.5704174041748047</v>
      </c>
      <c r="D18" s="22"/>
      <c r="E18" s="22">
        <v>1.2072868347167969</v>
      </c>
      <c r="F18" s="22">
        <v>1.6556100845336914</v>
      </c>
      <c r="G18" s="22"/>
      <c r="H18" s="22">
        <v>1.6269130706787109</v>
      </c>
      <c r="I18" s="22">
        <v>1.8720483779907227</v>
      </c>
      <c r="J18" s="22"/>
      <c r="K18" s="22">
        <v>0.55504417419433594</v>
      </c>
      <c r="L18" s="22">
        <v>2.7911109924316406</v>
      </c>
      <c r="M18" s="22"/>
      <c r="N18" s="22">
        <v>12.017848014831543</v>
      </c>
      <c r="O18" s="22">
        <v>13.279159545898438</v>
      </c>
      <c r="P18" s="22"/>
      <c r="Q18" s="22">
        <v>11.235433578491211</v>
      </c>
      <c r="R18" s="22">
        <v>12.403326034545898</v>
      </c>
      <c r="S18" s="22"/>
      <c r="T18" s="22">
        <v>8.2926244735717773</v>
      </c>
      <c r="U18" s="22">
        <v>8.8877754211425781</v>
      </c>
      <c r="V18" s="22"/>
      <c r="W18" s="22">
        <v>7.2011337280273438</v>
      </c>
      <c r="X18" s="22">
        <v>7.906977653503418</v>
      </c>
      <c r="Y18" s="22"/>
      <c r="Z18" s="22">
        <v>9.9306373596191406</v>
      </c>
      <c r="AA18" s="22">
        <v>10.137701034545898</v>
      </c>
    </row>
    <row r="19" spans="1:28">
      <c r="A19" s="8" t="s">
        <v>24</v>
      </c>
      <c r="B19" s="22">
        <v>1.7491960525512695</v>
      </c>
      <c r="C19" s="22">
        <v>5.3221235275268555</v>
      </c>
      <c r="D19" s="22"/>
      <c r="E19" s="22">
        <v>1.2391881942749023</v>
      </c>
      <c r="F19" s="22">
        <v>2.0917015075683594</v>
      </c>
      <c r="G19" s="22"/>
      <c r="H19" s="22">
        <v>1.5530118942260742</v>
      </c>
      <c r="I19" s="22">
        <v>4.0081558227539062</v>
      </c>
      <c r="J19" s="22"/>
      <c r="K19" s="22">
        <v>0.76839351654052734</v>
      </c>
      <c r="L19" s="22">
        <v>3.4169998168945312</v>
      </c>
      <c r="M19" s="22"/>
      <c r="N19" s="22">
        <v>11.64262580871582</v>
      </c>
      <c r="O19" s="22">
        <v>14.235679626464844</v>
      </c>
      <c r="P19" s="22"/>
      <c r="Q19" s="22">
        <v>10.439634323120117</v>
      </c>
      <c r="R19" s="22">
        <v>13.44106388092041</v>
      </c>
      <c r="S19" s="22"/>
      <c r="T19" s="22">
        <v>8.357478141784668</v>
      </c>
      <c r="U19" s="22">
        <v>9.52239990234375</v>
      </c>
      <c r="V19" s="22"/>
      <c r="W19" s="22">
        <v>5.9521913528442383</v>
      </c>
      <c r="X19" s="22">
        <v>10.258725166320801</v>
      </c>
      <c r="Y19" s="22"/>
      <c r="Z19" s="22">
        <v>9.9094772338867188</v>
      </c>
      <c r="AA19" s="22">
        <v>11.485990524291992</v>
      </c>
    </row>
    <row r="20" spans="1:28">
      <c r="A20" s="8" t="s">
        <v>24</v>
      </c>
      <c r="B20" s="22">
        <v>2.0231304168701172</v>
      </c>
      <c r="C20" s="22">
        <v>8.4481363296508789</v>
      </c>
      <c r="D20" s="22"/>
      <c r="E20" s="22">
        <v>0.26992607116699219</v>
      </c>
      <c r="F20" s="22">
        <v>3.3157358169555664</v>
      </c>
      <c r="G20" s="22"/>
      <c r="H20" s="22">
        <v>1.5980415344238281</v>
      </c>
      <c r="I20" s="22">
        <v>4.6707096099853516</v>
      </c>
      <c r="J20" s="22"/>
      <c r="K20" s="22">
        <v>0.80419349670410156</v>
      </c>
      <c r="L20" s="22">
        <v>4.0446872711181641</v>
      </c>
      <c r="M20" s="22"/>
      <c r="N20" s="22">
        <v>11.81772518157959</v>
      </c>
      <c r="O20" s="22">
        <v>14.589455604553223</v>
      </c>
      <c r="P20" s="22"/>
      <c r="Q20" s="22">
        <v>10.493793487548828</v>
      </c>
      <c r="R20" s="22">
        <v>15.604850769042969</v>
      </c>
      <c r="S20" s="22"/>
      <c r="T20" s="22">
        <v>8.6597061157226562</v>
      </c>
      <c r="U20" s="22">
        <v>11.288210868835449</v>
      </c>
      <c r="V20" s="22"/>
      <c r="W20" s="22">
        <v>6.2704105377197266</v>
      </c>
      <c r="X20" s="22">
        <v>11.346147537231445</v>
      </c>
      <c r="Y20" s="22"/>
      <c r="Z20" s="22">
        <v>9.3772869110107422</v>
      </c>
      <c r="AA20" s="22">
        <v>12.099941253662109</v>
      </c>
    </row>
    <row r="21" spans="1:28">
      <c r="A21" s="8" t="s">
        <v>24</v>
      </c>
      <c r="B21" s="22">
        <v>0.80908870697021484</v>
      </c>
      <c r="C21" s="22">
        <v>3.0573348999023438</v>
      </c>
      <c r="D21" s="22"/>
      <c r="E21" s="22">
        <v>0.17236232757568359</v>
      </c>
      <c r="F21" s="22">
        <v>0.75837326049804688</v>
      </c>
      <c r="G21" s="22"/>
      <c r="H21" s="22">
        <v>1.7592439651489258</v>
      </c>
      <c r="I21" s="22">
        <v>2.3488359451293945</v>
      </c>
      <c r="J21" s="22"/>
      <c r="K21" s="22">
        <v>0.85266017913818359</v>
      </c>
      <c r="L21" s="22">
        <v>0.61242580413818359</v>
      </c>
      <c r="M21" s="22"/>
      <c r="N21" s="22">
        <v>11.774502754211426</v>
      </c>
      <c r="O21" s="22">
        <v>11.719937324523926</v>
      </c>
      <c r="P21" s="22"/>
      <c r="Q21" s="22">
        <v>8.688380241394043</v>
      </c>
      <c r="R21" s="22">
        <v>13.074113845825195</v>
      </c>
      <c r="S21" s="22"/>
      <c r="T21" s="22">
        <v>9.2724332809448242</v>
      </c>
      <c r="U21" s="22">
        <v>8.5379638671875</v>
      </c>
      <c r="V21" s="22"/>
      <c r="W21" s="22">
        <v>5.5191497802734375</v>
      </c>
      <c r="X21" s="22">
        <v>7.899836540222168</v>
      </c>
      <c r="Y21" s="22"/>
      <c r="Z21" s="22">
        <v>9.504979133605957</v>
      </c>
      <c r="AA21" s="22">
        <v>11.144474983215332</v>
      </c>
    </row>
    <row r="22" spans="1:28">
      <c r="A22" s="8" t="s">
        <v>24</v>
      </c>
      <c r="B22" s="22">
        <v>2.4032669067382812</v>
      </c>
      <c r="C22" s="22">
        <v>3.640070915222168</v>
      </c>
      <c r="D22" s="22"/>
      <c r="E22" s="22">
        <v>-6.5568923950195312E-2</v>
      </c>
      <c r="F22" s="22">
        <v>6.3815116882324219E-2</v>
      </c>
      <c r="G22" s="22"/>
      <c r="H22" s="22">
        <v>1.612116813659668</v>
      </c>
      <c r="I22" s="22">
        <v>2.3061027526855469</v>
      </c>
      <c r="J22" s="22"/>
      <c r="K22" s="22">
        <v>0.91814327239990234</v>
      </c>
      <c r="L22" s="22">
        <v>0.76364421844482422</v>
      </c>
      <c r="M22" s="22"/>
      <c r="N22" s="22">
        <v>12.438989639282227</v>
      </c>
      <c r="O22" s="22">
        <v>12.964735984802246</v>
      </c>
      <c r="P22" s="22"/>
      <c r="Q22" s="22">
        <v>11.590672492980957</v>
      </c>
      <c r="R22" s="22">
        <v>13.423976898193359</v>
      </c>
      <c r="S22" s="22"/>
      <c r="T22" s="22">
        <v>8.8971900939941406</v>
      </c>
      <c r="U22" s="22">
        <v>8.142155647277832</v>
      </c>
      <c r="V22" s="22"/>
      <c r="W22" s="22">
        <v>6.6835155487060547</v>
      </c>
      <c r="X22" s="22">
        <v>8.6680259704589844</v>
      </c>
      <c r="Y22" s="22"/>
      <c r="Z22" s="22">
        <v>10.068520545959473</v>
      </c>
      <c r="AA22" s="22">
        <v>12.030208587646484</v>
      </c>
    </row>
    <row r="23" spans="1:28">
      <c r="A23" s="8" t="s">
        <v>24</v>
      </c>
      <c r="B23" s="22">
        <v>2.8949289321899414</v>
      </c>
      <c r="C23" s="22">
        <v>1.453125</v>
      </c>
      <c r="D23" s="22"/>
      <c r="E23" s="22">
        <v>3.2585477828979492</v>
      </c>
      <c r="F23" s="22">
        <v>0.52553176879882812</v>
      </c>
      <c r="G23" s="22"/>
      <c r="H23" s="22">
        <v>0.67568302154541016</v>
      </c>
      <c r="I23" s="22">
        <v>1.3654861450195312</v>
      </c>
      <c r="J23" s="22"/>
      <c r="K23" s="22">
        <v>0.76174449920654297</v>
      </c>
      <c r="L23" s="22">
        <v>0.35829257965087891</v>
      </c>
      <c r="M23" s="22"/>
      <c r="N23" s="22">
        <v>12.528063774108887</v>
      </c>
      <c r="O23" s="22">
        <v>12.703037261962891</v>
      </c>
      <c r="P23" s="22"/>
      <c r="Q23" s="22">
        <v>14.125391960144043</v>
      </c>
      <c r="R23" s="22">
        <v>10.511702537536621</v>
      </c>
      <c r="S23" s="22"/>
      <c r="T23" s="22">
        <v>8.8701753616333008</v>
      </c>
      <c r="U23" s="22">
        <v>8.8478908538818359</v>
      </c>
      <c r="V23" s="22"/>
      <c r="W23" s="22">
        <v>10.876704216003418</v>
      </c>
      <c r="X23" s="22">
        <v>7.5436773300170898</v>
      </c>
      <c r="Y23" s="22"/>
      <c r="Z23" s="22">
        <v>13.485179901123047</v>
      </c>
      <c r="AA23" s="22">
        <v>9.7487707138061523</v>
      </c>
    </row>
    <row r="24" spans="1:28">
      <c r="A24" s="8" t="s">
        <v>24</v>
      </c>
      <c r="B24" s="22">
        <v>4.2676668167114258</v>
      </c>
      <c r="C24" s="22">
        <v>2.5576057434082031</v>
      </c>
      <c r="D24" s="22"/>
      <c r="E24" s="22">
        <v>4.9045619964599609</v>
      </c>
      <c r="F24" s="22">
        <v>0.85100650787353516</v>
      </c>
      <c r="G24" s="22"/>
      <c r="H24" s="22">
        <v>1.1077260971069336</v>
      </c>
      <c r="I24" s="22">
        <v>1.8005838394165039</v>
      </c>
      <c r="J24" s="22"/>
      <c r="K24" s="22">
        <v>0.94350242614746094</v>
      </c>
      <c r="L24" s="22">
        <v>1.2908449172973633</v>
      </c>
      <c r="M24" s="22"/>
      <c r="N24" s="22">
        <v>12.327018737792969</v>
      </c>
      <c r="O24" s="22">
        <v>13.914692878723145</v>
      </c>
      <c r="P24" s="22"/>
      <c r="Q24" s="22">
        <v>14.055482864379883</v>
      </c>
      <c r="R24" s="22">
        <v>12.906601905822754</v>
      </c>
      <c r="S24" s="22"/>
      <c r="T24" s="22">
        <v>9.2741737365722656</v>
      </c>
      <c r="U24" s="22">
        <v>9.7585973739624023</v>
      </c>
      <c r="V24" s="22"/>
      <c r="W24" s="22">
        <v>12.613541603088379</v>
      </c>
      <c r="X24" s="22">
        <v>8.1399393081665039</v>
      </c>
      <c r="Y24" s="22"/>
      <c r="Z24" s="22">
        <v>13.99212646484375</v>
      </c>
      <c r="AA24" s="22">
        <v>11.264927864074707</v>
      </c>
    </row>
    <row r="25" spans="1:28">
      <c r="A25" s="11" t="s">
        <v>16</v>
      </c>
      <c r="C25" s="22"/>
      <c r="D25" s="22">
        <v>3.3499999999999979</v>
      </c>
      <c r="E25" s="22"/>
      <c r="F25" s="22"/>
      <c r="G25" s="22">
        <v>1.9400000000000013</v>
      </c>
      <c r="H25" s="22"/>
      <c r="I25" s="22"/>
      <c r="J25" s="22">
        <v>3.25</v>
      </c>
      <c r="K25" s="22"/>
      <c r="L25" s="22"/>
      <c r="M25" s="22">
        <v>-0.53000000000000114</v>
      </c>
      <c r="N25" s="22"/>
      <c r="O25" s="22"/>
      <c r="P25" s="22">
        <v>12.43</v>
      </c>
      <c r="Q25" s="22"/>
      <c r="R25" s="22"/>
      <c r="S25" s="22">
        <v>12.709999999999997</v>
      </c>
      <c r="T25" s="22"/>
      <c r="U25" s="22"/>
      <c r="V25" s="22">
        <v>10.359999999999996</v>
      </c>
      <c r="W25" s="22"/>
      <c r="X25" s="22"/>
      <c r="Y25" s="22">
        <v>10.040000000000003</v>
      </c>
      <c r="Z25" s="22"/>
      <c r="AA25" s="22"/>
      <c r="AB25" s="22">
        <v>14.279999999999998</v>
      </c>
    </row>
    <row r="26" spans="1:28">
      <c r="A26" s="11" t="s">
        <v>16</v>
      </c>
      <c r="C26" s="22"/>
      <c r="D26" s="22">
        <v>-1.9100000000000001</v>
      </c>
      <c r="E26" s="22"/>
      <c r="F26" s="22"/>
      <c r="G26" s="22">
        <v>-2.9499999999999993</v>
      </c>
      <c r="H26" s="22"/>
      <c r="I26" s="22"/>
      <c r="J26" s="22">
        <v>1.120000000000001</v>
      </c>
      <c r="K26" s="22"/>
      <c r="L26" s="22"/>
      <c r="M26" s="22">
        <v>-3.3100000000000023</v>
      </c>
      <c r="N26" s="22"/>
      <c r="O26" s="22"/>
      <c r="P26" s="22">
        <v>9.1600000000000037</v>
      </c>
      <c r="Q26" s="22"/>
      <c r="R26" s="22"/>
      <c r="S26" s="22">
        <v>4.7100000000000009</v>
      </c>
      <c r="T26" s="22"/>
      <c r="U26" s="22"/>
      <c r="V26" s="22">
        <v>5.9899999999999984</v>
      </c>
      <c r="W26" s="22"/>
      <c r="X26" s="22"/>
      <c r="Y26" s="22">
        <v>3.5300000000000011</v>
      </c>
      <c r="Z26" s="22"/>
      <c r="AA26" s="22"/>
      <c r="AB26" s="22">
        <v>7.1300000000000026</v>
      </c>
    </row>
    <row r="27" spans="1:28">
      <c r="A27" s="11" t="s">
        <v>16</v>
      </c>
      <c r="C27" s="22"/>
      <c r="D27" s="22">
        <v>1.1300000000000026</v>
      </c>
      <c r="E27" s="22"/>
      <c r="F27" s="22"/>
      <c r="G27" s="22">
        <v>0.10000000000000142</v>
      </c>
      <c r="H27" s="22"/>
      <c r="I27" s="22"/>
      <c r="J27" s="22">
        <v>2.41</v>
      </c>
      <c r="K27" s="22"/>
      <c r="L27" s="22"/>
      <c r="M27" s="22">
        <v>-1.4000000000000021</v>
      </c>
      <c r="N27" s="22"/>
      <c r="O27" s="22"/>
      <c r="P27" s="22">
        <v>8.18</v>
      </c>
      <c r="Q27" s="22"/>
      <c r="R27" s="22"/>
      <c r="S27" s="22">
        <v>5.7899999999999991</v>
      </c>
      <c r="T27" s="22"/>
      <c r="U27" s="22"/>
      <c r="V27" s="22">
        <v>3.7200000000000024</v>
      </c>
      <c r="W27" s="22"/>
      <c r="X27" s="22"/>
      <c r="Y27" s="22">
        <v>5.66</v>
      </c>
      <c r="Z27" s="22"/>
      <c r="AA27" s="22"/>
      <c r="AB27" s="22">
        <v>8.3599999999999959</v>
      </c>
    </row>
    <row r="28" spans="1:28">
      <c r="A28" s="11" t="s">
        <v>16</v>
      </c>
      <c r="C28" s="22"/>
      <c r="D28" s="22">
        <v>-4.0100000000000016</v>
      </c>
      <c r="E28" s="22"/>
      <c r="F28" s="22"/>
      <c r="G28" s="22">
        <v>-4.4400000000000013</v>
      </c>
      <c r="H28" s="22"/>
      <c r="I28" s="22"/>
      <c r="J28" s="22">
        <v>1.129999999999999</v>
      </c>
      <c r="K28" s="22"/>
      <c r="L28" s="22"/>
      <c r="M28" s="22">
        <v>-2.34</v>
      </c>
      <c r="N28" s="22"/>
      <c r="O28" s="22"/>
      <c r="P28" s="22">
        <v>3.9899999999999984</v>
      </c>
      <c r="Q28" s="22"/>
      <c r="R28" s="22"/>
      <c r="S28" s="22">
        <v>6.0000000000002274E-2</v>
      </c>
      <c r="T28" s="22"/>
      <c r="U28" s="22"/>
      <c r="V28" s="22">
        <v>2.1599999999999966</v>
      </c>
      <c r="W28" s="22"/>
      <c r="X28" s="22"/>
      <c r="Y28" s="22">
        <v>0.78000000000000114</v>
      </c>
      <c r="Z28" s="22"/>
      <c r="AA28" s="22"/>
      <c r="AB28" s="22">
        <v>2.7399999999999984</v>
      </c>
    </row>
    <row r="29" spans="1:28">
      <c r="A29" s="11" t="s">
        <v>16</v>
      </c>
      <c r="C29" s="22"/>
      <c r="D29" s="22">
        <v>-2.6800000000000033</v>
      </c>
      <c r="E29" s="22"/>
      <c r="F29" s="22"/>
      <c r="G29" s="22">
        <v>-3.4299999999999997</v>
      </c>
      <c r="H29" s="22"/>
      <c r="I29" s="22"/>
      <c r="J29" s="22">
        <v>0.41999999999999815</v>
      </c>
      <c r="K29" s="22"/>
      <c r="L29" s="22"/>
      <c r="M29" s="22">
        <v>-7.7000000000000028</v>
      </c>
      <c r="N29" s="22"/>
      <c r="O29" s="22"/>
      <c r="P29" s="22">
        <v>3.0400000000000027</v>
      </c>
      <c r="Q29" s="22"/>
      <c r="R29" s="22"/>
      <c r="S29" s="22">
        <v>0.53999999999999915</v>
      </c>
      <c r="T29" s="22"/>
      <c r="U29" s="22"/>
      <c r="V29" s="22">
        <v>-0.35999999999999943</v>
      </c>
      <c r="W29" s="22"/>
      <c r="X29" s="22"/>
      <c r="Y29" s="22">
        <v>1.0899999999999999</v>
      </c>
      <c r="Z29" s="22"/>
      <c r="AA29" s="22"/>
      <c r="AB29" s="22">
        <v>2.9299999999999997</v>
      </c>
    </row>
    <row r="30" spans="1:28">
      <c r="A30" s="11" t="s">
        <v>16</v>
      </c>
      <c r="C30" s="22"/>
      <c r="D30" s="22">
        <v>-1.7899999999999991</v>
      </c>
      <c r="E30" s="22"/>
      <c r="F30" s="22"/>
      <c r="G30" s="22">
        <v>-2.3099999999999987</v>
      </c>
      <c r="H30" s="22"/>
      <c r="I30" s="22"/>
      <c r="J30" s="22">
        <v>0.55999999999999872</v>
      </c>
      <c r="K30" s="22"/>
      <c r="L30" s="22"/>
      <c r="M30" s="22">
        <v>-2.16</v>
      </c>
      <c r="N30" s="22"/>
      <c r="O30" s="22"/>
      <c r="P30" s="22">
        <v>7.980000000000004</v>
      </c>
      <c r="Q30" s="22"/>
      <c r="R30" s="22"/>
      <c r="S30" s="22">
        <v>2.75</v>
      </c>
      <c r="T30" s="22"/>
      <c r="U30" s="22"/>
      <c r="V30" s="22">
        <v>4.370000000000001</v>
      </c>
      <c r="W30" s="22"/>
      <c r="X30" s="22"/>
      <c r="Y30" s="22">
        <v>3.0700000000000003</v>
      </c>
      <c r="Z30" s="22"/>
      <c r="AA30" s="22"/>
      <c r="AB30" s="22">
        <v>5.91</v>
      </c>
    </row>
    <row r="31" spans="1:28">
      <c r="A31" s="11" t="s">
        <v>16</v>
      </c>
      <c r="C31" s="22"/>
      <c r="D31" s="22">
        <v>-0.14000000000000057</v>
      </c>
      <c r="E31" s="22"/>
      <c r="F31" s="22"/>
      <c r="G31" s="22">
        <v>-0.69999999999999929</v>
      </c>
      <c r="H31" s="22"/>
      <c r="I31" s="22"/>
      <c r="J31" s="22">
        <v>-0.99000000000000199</v>
      </c>
      <c r="K31" s="22"/>
      <c r="L31" s="22"/>
      <c r="M31" s="22">
        <v>-2.4400000000000013</v>
      </c>
      <c r="N31" s="22"/>
      <c r="O31" s="22"/>
      <c r="P31" s="22">
        <v>3.509999999999998</v>
      </c>
      <c r="Q31" s="22"/>
      <c r="R31" s="22"/>
      <c r="S31" s="22">
        <v>4.84</v>
      </c>
      <c r="T31" s="22"/>
      <c r="U31" s="22"/>
      <c r="V31" s="22">
        <v>4.0500000000000007</v>
      </c>
      <c r="W31" s="22"/>
      <c r="X31" s="22"/>
      <c r="Y31" s="22">
        <v>5</v>
      </c>
      <c r="Z31" s="22"/>
      <c r="AA31" s="22"/>
      <c r="AB31" s="22">
        <v>7.490000000000002</v>
      </c>
    </row>
    <row r="32" spans="1:28">
      <c r="A32" s="11" t="s">
        <v>16</v>
      </c>
      <c r="C32" s="22"/>
      <c r="D32" s="22">
        <v>-2.5100000000000016</v>
      </c>
      <c r="E32" s="22"/>
      <c r="F32" s="22"/>
      <c r="G32" s="22">
        <v>-3.1400000000000006</v>
      </c>
      <c r="H32" s="22"/>
      <c r="I32" s="22"/>
      <c r="J32" s="22">
        <v>-0.91000000000000014</v>
      </c>
      <c r="K32" s="22"/>
      <c r="L32" s="22"/>
      <c r="M32" s="22">
        <v>-3.8400000000000034</v>
      </c>
      <c r="N32" s="22"/>
      <c r="O32" s="22"/>
      <c r="P32" s="22">
        <v>5.5300000000000011</v>
      </c>
      <c r="Q32" s="22"/>
      <c r="R32" s="22"/>
      <c r="S32" s="22">
        <v>1.8199999999999967</v>
      </c>
      <c r="T32" s="22"/>
      <c r="U32" s="22"/>
      <c r="V32" s="22">
        <v>2.139999999999997</v>
      </c>
      <c r="W32" s="22"/>
      <c r="X32" s="22"/>
      <c r="Y32" s="22">
        <v>2.2600000000000016</v>
      </c>
      <c r="Z32" s="22"/>
      <c r="AA32" s="22"/>
      <c r="AB32" s="22">
        <v>4.9200000000000017</v>
      </c>
    </row>
    <row r="33" spans="1:28">
      <c r="A33" s="11" t="s">
        <v>16</v>
      </c>
      <c r="C33" s="22"/>
      <c r="D33" s="22">
        <v>0.34999999999999787</v>
      </c>
      <c r="E33" s="22"/>
      <c r="F33" s="22"/>
      <c r="G33" s="22">
        <v>-0.31000000000000227</v>
      </c>
      <c r="H33" s="22"/>
      <c r="I33" s="22"/>
      <c r="J33" s="22">
        <v>0.89000000000000057</v>
      </c>
      <c r="K33" s="22"/>
      <c r="L33" s="22"/>
      <c r="M33" s="22">
        <v>-1.0199999999999996</v>
      </c>
      <c r="N33" s="22"/>
      <c r="O33" s="22"/>
      <c r="P33" s="22">
        <v>11.489999999999998</v>
      </c>
      <c r="Q33" s="22"/>
      <c r="R33" s="22"/>
      <c r="S33" s="22">
        <v>6.6499999999999986</v>
      </c>
      <c r="T33" s="22"/>
      <c r="U33" s="22"/>
      <c r="V33" s="22">
        <v>8.2600000000000016</v>
      </c>
      <c r="W33" s="22"/>
      <c r="X33" s="22"/>
      <c r="Y33" s="22">
        <v>6.34</v>
      </c>
      <c r="Z33" s="22"/>
      <c r="AA33" s="22"/>
      <c r="AB33" s="22">
        <v>10.239999999999998</v>
      </c>
    </row>
    <row r="34" spans="1:28">
      <c r="A34" s="11" t="s">
        <v>16</v>
      </c>
      <c r="C34" s="22"/>
      <c r="D34" s="22">
        <v>-2.9200000000000017</v>
      </c>
      <c r="E34" s="22"/>
      <c r="F34" s="22"/>
      <c r="G34" s="22">
        <v>-3.1700000000000017</v>
      </c>
      <c r="H34" s="22"/>
      <c r="I34" s="22"/>
      <c r="J34" s="22">
        <v>-0.32000000000000028</v>
      </c>
      <c r="K34" s="22"/>
      <c r="L34" s="22"/>
      <c r="M34" s="22">
        <v>-2.5700000000000003</v>
      </c>
      <c r="N34" s="22"/>
      <c r="O34" s="22"/>
      <c r="P34" s="22">
        <v>7.2299999999999969</v>
      </c>
      <c r="Q34" s="22"/>
      <c r="R34" s="22"/>
      <c r="S34" s="22">
        <v>2.5500000000000007</v>
      </c>
      <c r="T34" s="22"/>
      <c r="U34" s="22"/>
      <c r="V34" s="22">
        <v>5.41</v>
      </c>
      <c r="W34" s="22"/>
      <c r="X34" s="22"/>
      <c r="Y34" s="22">
        <v>2.8100000000000023</v>
      </c>
      <c r="Z34" s="22"/>
      <c r="AA34" s="22"/>
      <c r="AB34" s="22">
        <v>5.8599999999999959</v>
      </c>
    </row>
    <row r="35" spans="1:28">
      <c r="A35" s="15" t="s">
        <v>21</v>
      </c>
      <c r="C35" s="22"/>
      <c r="D35" s="22">
        <v>-0.14174556732177734</v>
      </c>
      <c r="E35" s="22"/>
      <c r="F35" s="22"/>
      <c r="G35" s="22">
        <v>0.32084465026855469</v>
      </c>
      <c r="H35" s="22"/>
      <c r="I35" s="22"/>
      <c r="J35" s="22">
        <v>-2.7262687683105469E-2</v>
      </c>
      <c r="K35" s="22"/>
      <c r="L35" s="22"/>
      <c r="M35" s="22">
        <v>0.16749954223632812</v>
      </c>
      <c r="N35" s="22"/>
      <c r="O35" s="22"/>
      <c r="P35" s="22">
        <v>12.423486709594727</v>
      </c>
      <c r="Q35" s="22"/>
      <c r="R35" s="22"/>
      <c r="S35" s="22">
        <v>9.6060295104980469</v>
      </c>
      <c r="T35" s="22"/>
      <c r="U35" s="22"/>
      <c r="V35" s="22">
        <v>5.8266792297363281</v>
      </c>
      <c r="W35" s="22"/>
      <c r="X35" s="22"/>
      <c r="Y35" s="22">
        <v>6.4593667984008789</v>
      </c>
      <c r="Z35" s="22"/>
      <c r="AA35" s="22"/>
      <c r="AB35" s="22">
        <v>9.1404571533203125</v>
      </c>
    </row>
    <row r="36" spans="1:28">
      <c r="A36" s="15" t="s">
        <v>21</v>
      </c>
      <c r="C36" s="22"/>
      <c r="D36" s="22">
        <v>-0.34255409240722656</v>
      </c>
      <c r="E36" s="22"/>
      <c r="F36" s="22"/>
      <c r="G36" s="22">
        <v>0.33395195007324219</v>
      </c>
      <c r="H36" s="22"/>
      <c r="I36" s="22"/>
      <c r="J36" s="22">
        <v>0.24954414367675781</v>
      </c>
      <c r="K36" s="22"/>
      <c r="L36" s="22"/>
      <c r="M36" s="22">
        <v>-9.0150833129882812E-2</v>
      </c>
      <c r="N36" s="22"/>
      <c r="O36" s="22"/>
      <c r="P36" s="22">
        <v>11.255852699279785</v>
      </c>
      <c r="Q36" s="22"/>
      <c r="R36" s="22"/>
      <c r="S36" s="22">
        <v>9.5544862747192383</v>
      </c>
      <c r="T36" s="22"/>
      <c r="U36" s="22"/>
      <c r="V36" s="22">
        <v>6.3179998397827148</v>
      </c>
      <c r="W36" s="22"/>
      <c r="X36" s="22"/>
      <c r="Y36" s="22">
        <v>6.4963016510009766</v>
      </c>
      <c r="Z36" s="22"/>
      <c r="AA36" s="22"/>
      <c r="AB36" s="22">
        <v>8.9253740310668945</v>
      </c>
    </row>
    <row r="37" spans="1:28">
      <c r="A37" s="15" t="s">
        <v>21</v>
      </c>
      <c r="C37" s="22"/>
      <c r="D37" s="22">
        <v>-1.5814304351806641</v>
      </c>
      <c r="E37" s="22"/>
      <c r="F37" s="22"/>
      <c r="G37" s="22">
        <v>-0.53305339813232422</v>
      </c>
      <c r="H37" s="22"/>
      <c r="I37" s="22"/>
      <c r="J37" s="22">
        <v>-0.25843906402587891</v>
      </c>
      <c r="K37" s="22"/>
      <c r="L37" s="22"/>
      <c r="M37" s="22">
        <v>-1.0369997024536133</v>
      </c>
      <c r="N37" s="22"/>
      <c r="O37" s="22"/>
      <c r="P37" s="22">
        <v>10.690102577209473</v>
      </c>
      <c r="Q37" s="22"/>
      <c r="R37" s="22"/>
      <c r="S37" s="22">
        <v>7.3843526840209961</v>
      </c>
      <c r="T37" s="22"/>
      <c r="U37" s="22"/>
      <c r="V37" s="22">
        <v>5.0862417221069336</v>
      </c>
      <c r="W37" s="22"/>
      <c r="X37" s="22"/>
      <c r="Y37" s="22">
        <v>5.2188320159912109</v>
      </c>
      <c r="Z37" s="22"/>
      <c r="AA37" s="22"/>
      <c r="AB37" s="22">
        <v>7.1689281463623047</v>
      </c>
    </row>
    <row r="38" spans="1:28">
      <c r="A38" s="15" t="s">
        <v>21</v>
      </c>
      <c r="C38" s="22"/>
      <c r="D38" s="22">
        <v>0.9953765869140625</v>
      </c>
      <c r="E38" s="22"/>
      <c r="F38" s="22"/>
      <c r="G38" s="22">
        <v>-1.2821865081787109</v>
      </c>
      <c r="H38" s="22"/>
      <c r="I38" s="22"/>
      <c r="J38" s="22">
        <v>4.7943248748779297</v>
      </c>
      <c r="K38" s="22"/>
      <c r="L38" s="22"/>
      <c r="M38" s="22">
        <v>1.0012006759643555</v>
      </c>
      <c r="N38" s="22"/>
      <c r="O38" s="22"/>
      <c r="P38" s="22">
        <v>11.238926887512207</v>
      </c>
      <c r="Q38" s="22"/>
      <c r="R38" s="22"/>
      <c r="S38" s="22">
        <v>6.5049314498901367</v>
      </c>
      <c r="T38" s="22"/>
      <c r="U38" s="22"/>
      <c r="V38" s="22">
        <v>9.7687768936157227</v>
      </c>
      <c r="W38" s="22"/>
      <c r="X38" s="22"/>
      <c r="Y38" s="22">
        <v>3.7674322128295898</v>
      </c>
      <c r="Z38" s="22"/>
      <c r="AA38" s="22"/>
      <c r="AB38" s="22">
        <v>8.8347578048706055</v>
      </c>
    </row>
    <row r="39" spans="1:28">
      <c r="A39" s="15" t="s">
        <v>21</v>
      </c>
      <c r="C39" s="22"/>
      <c r="D39" s="22">
        <v>-3.0813217163085938E-3</v>
      </c>
      <c r="E39" s="22"/>
      <c r="F39" s="22"/>
      <c r="G39" s="22">
        <v>-0.51610088348388672</v>
      </c>
      <c r="H39" s="22"/>
      <c r="I39" s="22"/>
      <c r="J39" s="22">
        <v>-0.10813808441162109</v>
      </c>
      <c r="K39" s="22"/>
      <c r="L39" s="22"/>
      <c r="M39" s="22">
        <v>0.23000049591064453</v>
      </c>
      <c r="N39" s="22"/>
      <c r="O39" s="22"/>
      <c r="P39" s="22">
        <v>11.042481422424316</v>
      </c>
      <c r="Q39" s="22"/>
      <c r="R39" s="22"/>
      <c r="S39" s="22">
        <v>7.7362337112426758</v>
      </c>
      <c r="T39" s="22"/>
      <c r="U39" s="22"/>
      <c r="V39" s="22">
        <v>6.8515539169311523</v>
      </c>
      <c r="W39" s="22"/>
      <c r="X39" s="22"/>
      <c r="Y39" s="22">
        <v>4.831233024597168</v>
      </c>
      <c r="Z39" s="22"/>
      <c r="AA39" s="22"/>
      <c r="AB39" s="22">
        <v>9.0653181076049805</v>
      </c>
    </row>
    <row r="40" spans="1:28">
      <c r="A40" s="15" t="s">
        <v>21</v>
      </c>
      <c r="C40" s="22"/>
      <c r="D40" s="22">
        <v>-1.2856922149658203</v>
      </c>
      <c r="E40" s="22"/>
      <c r="F40" s="22"/>
      <c r="G40" s="22">
        <v>-1.8211345672607422</v>
      </c>
      <c r="H40" s="22"/>
      <c r="I40" s="22"/>
      <c r="J40" s="22">
        <v>-0.88303661346435547</v>
      </c>
      <c r="K40" s="22"/>
      <c r="L40" s="22"/>
      <c r="M40" s="22">
        <v>-1.9948806762695312</v>
      </c>
      <c r="N40" s="22"/>
      <c r="O40" s="22"/>
      <c r="P40" s="22">
        <v>7.0052804946899414</v>
      </c>
      <c r="Q40" s="22"/>
      <c r="R40" s="22"/>
      <c r="S40" s="22">
        <v>4.7849321365356445</v>
      </c>
      <c r="T40" s="22"/>
      <c r="U40" s="22"/>
      <c r="V40" s="22">
        <v>3.7054738998413086</v>
      </c>
      <c r="W40" s="22"/>
      <c r="X40" s="22"/>
      <c r="Y40" s="22">
        <v>2.4886312484741211</v>
      </c>
      <c r="Z40" s="22"/>
      <c r="AA40" s="22"/>
      <c r="AB40" s="22">
        <v>4.9801082611083984</v>
      </c>
    </row>
    <row r="41" spans="1:28">
      <c r="A41" s="15" t="s">
        <v>21</v>
      </c>
      <c r="C41" s="22"/>
      <c r="D41" s="22">
        <v>0.30014514923095703</v>
      </c>
      <c r="E41" s="22"/>
      <c r="F41" s="22"/>
      <c r="G41" s="22">
        <v>-1.4127464294433594</v>
      </c>
      <c r="H41" s="22"/>
      <c r="I41" s="22"/>
      <c r="J41" s="22">
        <v>-1.5754117965698242</v>
      </c>
      <c r="K41" s="22"/>
      <c r="L41" s="22"/>
      <c r="M41" s="22">
        <v>-1.5774564743041992</v>
      </c>
      <c r="N41" s="22"/>
      <c r="O41" s="22"/>
      <c r="P41" s="22">
        <v>7.2137327194213867</v>
      </c>
      <c r="Q41" s="22"/>
      <c r="R41" s="22"/>
      <c r="S41" s="22">
        <v>6.0548343658447266</v>
      </c>
      <c r="T41" s="22"/>
      <c r="U41" s="22"/>
      <c r="V41" s="22">
        <v>3.6109075546264648</v>
      </c>
      <c r="W41" s="22"/>
      <c r="X41" s="22"/>
      <c r="Y41" s="22">
        <v>3.6686983108520508</v>
      </c>
      <c r="Z41" s="22"/>
      <c r="AA41" s="22"/>
      <c r="AB41" s="22">
        <v>5.7133903503417969</v>
      </c>
    </row>
    <row r="42" spans="1:28">
      <c r="A42" s="15" t="s">
        <v>21</v>
      </c>
      <c r="C42" s="22"/>
      <c r="D42" s="22">
        <v>-0.67326164245605469</v>
      </c>
      <c r="E42" s="22"/>
      <c r="F42" s="22"/>
      <c r="G42" s="22">
        <v>-1.1751680374145508</v>
      </c>
      <c r="H42" s="22"/>
      <c r="I42" s="22"/>
      <c r="J42" s="22">
        <v>0.1379852294921875</v>
      </c>
      <c r="K42" s="22"/>
      <c r="L42" s="22"/>
      <c r="M42" s="22">
        <v>-0.68585300445556641</v>
      </c>
      <c r="N42" s="22"/>
      <c r="O42" s="22"/>
      <c r="P42" s="22">
        <v>10.104639053344727</v>
      </c>
      <c r="Q42" s="22"/>
      <c r="R42" s="22"/>
      <c r="S42" s="22">
        <v>6.0413532257080078</v>
      </c>
      <c r="T42" s="22"/>
      <c r="U42" s="22"/>
      <c r="V42" s="22">
        <v>5.0411291122436523</v>
      </c>
      <c r="W42" s="22"/>
      <c r="X42" s="22"/>
      <c r="Y42" s="22">
        <v>4.3132696151733398</v>
      </c>
      <c r="Z42" s="22"/>
      <c r="AA42" s="22"/>
      <c r="AB42" s="22">
        <v>7.068028450012207</v>
      </c>
    </row>
    <row r="43" spans="1:28">
      <c r="A43" s="15" t="s">
        <v>21</v>
      </c>
      <c r="C43" s="22"/>
      <c r="D43" s="22">
        <v>-7.3037147521972656E-2</v>
      </c>
      <c r="E43" s="22"/>
      <c r="F43" s="22"/>
      <c r="G43" s="22">
        <v>-0.54246425628662109</v>
      </c>
      <c r="H43" s="22"/>
      <c r="I43" s="22"/>
      <c r="J43" s="22">
        <v>5.419158935546875E-2</v>
      </c>
      <c r="K43" s="22"/>
      <c r="L43" s="22"/>
      <c r="M43" s="22">
        <v>-0.91433429718017578</v>
      </c>
      <c r="N43" s="22"/>
      <c r="O43" s="22"/>
      <c r="P43" s="22">
        <v>9.4887790679931641</v>
      </c>
      <c r="Q43" s="22"/>
      <c r="R43" s="22"/>
      <c r="S43" s="22">
        <v>7.0130901336669922</v>
      </c>
      <c r="T43" s="22"/>
      <c r="U43" s="22"/>
      <c r="V43" s="22">
        <v>5.4449062347412109</v>
      </c>
      <c r="W43" s="22"/>
      <c r="X43" s="22"/>
      <c r="Y43" s="22">
        <v>4.2578659057617188</v>
      </c>
      <c r="Z43" s="22"/>
      <c r="AA43" s="22"/>
      <c r="AB43" s="22">
        <v>6.9074783325195312</v>
      </c>
    </row>
    <row r="44" spans="1:28">
      <c r="A44" s="15" t="s">
        <v>21</v>
      </c>
      <c r="C44" s="22"/>
      <c r="D44" s="22">
        <v>2.4531183242797852</v>
      </c>
      <c r="E44" s="22"/>
      <c r="F44" s="22"/>
      <c r="G44" s="22">
        <v>1.0918960571289062</v>
      </c>
      <c r="H44" s="22"/>
      <c r="I44" s="22"/>
      <c r="J44" s="22">
        <v>1.4663476943969727</v>
      </c>
      <c r="K44" s="22"/>
      <c r="L44" s="22"/>
      <c r="M44" s="22">
        <v>-3.9507865905761719E-2</v>
      </c>
      <c r="N44" s="22"/>
      <c r="O44" s="22"/>
      <c r="P44" s="22">
        <v>11.299470901489258</v>
      </c>
      <c r="Q44" s="22"/>
      <c r="R44" s="22"/>
      <c r="S44" s="22">
        <v>11.4681396484375</v>
      </c>
      <c r="T44" s="22"/>
      <c r="U44" s="22"/>
      <c r="V44" s="22">
        <v>5.8740081787109375</v>
      </c>
      <c r="W44" s="22"/>
      <c r="X44" s="22"/>
      <c r="Y44" s="22">
        <v>7.3084392547607422</v>
      </c>
      <c r="Z44" s="22"/>
      <c r="AA44" s="22"/>
      <c r="AB44" s="22">
        <v>9.8248968124389648</v>
      </c>
    </row>
    <row r="45" spans="1:28">
      <c r="A45" s="15" t="s">
        <v>21</v>
      </c>
      <c r="C45" s="22"/>
      <c r="D45" s="22">
        <v>7.44171142578125E-2</v>
      </c>
      <c r="E45" s="22"/>
      <c r="F45" s="22"/>
      <c r="G45" s="22">
        <v>-0.4476776123046875</v>
      </c>
      <c r="H45" s="22"/>
      <c r="I45" s="22"/>
      <c r="J45" s="22">
        <v>-1.2794294357299805</v>
      </c>
      <c r="K45" s="22"/>
      <c r="L45" s="22"/>
      <c r="M45" s="22">
        <v>-1.7184810638427734</v>
      </c>
      <c r="N45" s="22"/>
      <c r="O45" s="22"/>
      <c r="P45" s="22">
        <v>7.2517480850219727</v>
      </c>
      <c r="Q45" s="22"/>
      <c r="R45" s="22"/>
      <c r="S45" s="22">
        <v>6.9292793273925781</v>
      </c>
      <c r="T45" s="22"/>
      <c r="U45" s="22"/>
      <c r="V45" s="22">
        <v>3.7196216583251953</v>
      </c>
      <c r="W45" s="22"/>
      <c r="X45" s="22"/>
      <c r="Y45" s="22">
        <v>4.692234992980957</v>
      </c>
      <c r="Z45" s="22"/>
      <c r="AA45" s="22"/>
      <c r="AB45" s="22">
        <v>6.1821727752685547</v>
      </c>
    </row>
    <row r="46" spans="1:28">
      <c r="A46" s="15" t="s">
        <v>21</v>
      </c>
      <c r="C46" s="22"/>
      <c r="D46" s="22">
        <v>2.7686758041381836</v>
      </c>
      <c r="E46" s="22"/>
      <c r="F46" s="22"/>
      <c r="G46" s="22">
        <v>1.7977914810180664</v>
      </c>
      <c r="H46" s="22"/>
      <c r="I46" s="22"/>
      <c r="J46" s="22">
        <v>1.9777927398681641</v>
      </c>
      <c r="K46" s="22"/>
      <c r="L46" s="22"/>
      <c r="M46" s="22">
        <v>4.3215751647949219E-2</v>
      </c>
      <c r="N46" s="22"/>
      <c r="O46" s="22"/>
      <c r="P46" s="22">
        <v>10.894068717956543</v>
      </c>
      <c r="Q46" s="22"/>
      <c r="R46" s="22"/>
      <c r="S46" s="22">
        <v>11.725306510925293</v>
      </c>
      <c r="T46" s="22"/>
      <c r="U46" s="22"/>
      <c r="V46" s="22">
        <v>7.1081113815307617</v>
      </c>
      <c r="W46" s="22"/>
      <c r="X46" s="22"/>
      <c r="Y46" s="22">
        <v>7.5658082962036133</v>
      </c>
      <c r="Z46" s="22"/>
      <c r="AA46" s="22"/>
      <c r="AB46" s="22">
        <v>10.617197036743164</v>
      </c>
    </row>
    <row r="47" spans="1:28">
      <c r="A47" s="15" t="s">
        <v>21</v>
      </c>
      <c r="C47" s="22"/>
      <c r="D47" s="22">
        <v>-1.1446676254272461</v>
      </c>
      <c r="E47" s="22"/>
      <c r="F47" s="22"/>
      <c r="G47" s="22">
        <v>-1.4730672836303711</v>
      </c>
      <c r="H47" s="22"/>
      <c r="I47" s="22"/>
      <c r="J47" s="22">
        <v>-0.82566738128662109</v>
      </c>
      <c r="K47" s="22"/>
      <c r="L47" s="22"/>
      <c r="M47" s="22">
        <v>-1.4881086349487305</v>
      </c>
      <c r="N47" s="22"/>
      <c r="O47" s="22"/>
      <c r="P47" s="22">
        <v>7.3924007415771484</v>
      </c>
      <c r="Q47" s="22"/>
      <c r="R47" s="22"/>
      <c r="S47" s="22">
        <v>5.032811164855957</v>
      </c>
      <c r="T47" s="22"/>
      <c r="U47" s="22"/>
      <c r="V47" s="22">
        <v>4.4805631637573242</v>
      </c>
      <c r="W47" s="22"/>
      <c r="X47" s="22"/>
      <c r="Y47" s="22">
        <v>2.8434572219848633</v>
      </c>
      <c r="Z47" s="22"/>
      <c r="AA47" s="22"/>
      <c r="AB47" s="22">
        <v>5.6025724411010742</v>
      </c>
    </row>
    <row r="48" spans="1:28">
      <c r="A48" s="15" t="s">
        <v>21</v>
      </c>
      <c r="C48" s="22"/>
      <c r="D48" s="22">
        <v>-0.98568916320800781</v>
      </c>
      <c r="E48" s="22"/>
      <c r="F48" s="22"/>
      <c r="G48" s="22">
        <v>-1.3037481307983398</v>
      </c>
      <c r="H48" s="22"/>
      <c r="I48" s="22"/>
      <c r="J48" s="22">
        <v>1.1623220443725586</v>
      </c>
      <c r="K48" s="22"/>
      <c r="L48" s="22"/>
      <c r="M48" s="22">
        <v>0.5961456298828125</v>
      </c>
      <c r="N48" s="22"/>
      <c r="O48" s="22"/>
      <c r="P48" s="22">
        <v>10.423089027404785</v>
      </c>
      <c r="Q48" s="22"/>
      <c r="R48" s="22"/>
      <c r="S48" s="22">
        <v>5.7734355926513672</v>
      </c>
      <c r="T48" s="22"/>
      <c r="U48" s="22"/>
      <c r="V48" s="22">
        <v>7.8334016799926758</v>
      </c>
      <c r="W48" s="22"/>
      <c r="X48" s="22"/>
      <c r="Y48" s="22">
        <v>3.1595020294189453</v>
      </c>
      <c r="Z48" s="22"/>
      <c r="AA48" s="22"/>
      <c r="AB48" s="22">
        <v>7.1679630279541016</v>
      </c>
    </row>
    <row r="49" spans="1:28">
      <c r="A49" s="15" t="s">
        <v>21</v>
      </c>
      <c r="C49" s="22"/>
      <c r="D49" s="22">
        <v>-1.58587646484375</v>
      </c>
      <c r="E49" s="22"/>
      <c r="F49" s="22"/>
      <c r="G49" s="22">
        <v>-1.9376287460327148</v>
      </c>
      <c r="H49" s="22"/>
      <c r="I49" s="22"/>
      <c r="J49" s="22">
        <v>-1.396479606628418</v>
      </c>
      <c r="K49" s="22"/>
      <c r="L49" s="22"/>
      <c r="M49" s="22">
        <v>-1.8496999740600586</v>
      </c>
      <c r="N49" s="22"/>
      <c r="O49" s="22"/>
      <c r="P49" s="22">
        <v>7.4249944686889648</v>
      </c>
      <c r="Q49" s="22"/>
      <c r="R49" s="22"/>
      <c r="S49" s="22">
        <v>4.584681510925293</v>
      </c>
      <c r="T49" s="22"/>
      <c r="U49" s="22"/>
      <c r="V49" s="22">
        <v>3.5986976623535156</v>
      </c>
      <c r="W49" s="22"/>
      <c r="X49" s="22"/>
      <c r="Y49" s="22">
        <v>2.3180427551269531</v>
      </c>
      <c r="Z49" s="22"/>
      <c r="AA49" s="22"/>
      <c r="AB49" s="22">
        <v>4.8561487197875977</v>
      </c>
    </row>
    <row r="50" spans="1:28">
      <c r="A50" s="15" t="s">
        <v>21</v>
      </c>
      <c r="C50" s="22"/>
      <c r="D50" s="22">
        <v>4.3904590606689453</v>
      </c>
      <c r="E50" s="22"/>
      <c r="F50" s="22"/>
      <c r="G50" s="22">
        <v>2.3055686950683594</v>
      </c>
      <c r="H50" s="22"/>
      <c r="I50" s="22"/>
      <c r="J50" s="22">
        <v>1.9022397994995117</v>
      </c>
      <c r="K50" s="22"/>
      <c r="L50" s="22"/>
      <c r="M50" s="22">
        <v>3.2876310348510742</v>
      </c>
      <c r="N50" s="22"/>
      <c r="O50" s="22"/>
      <c r="P50" s="22">
        <v>12.636373519897461</v>
      </c>
      <c r="Q50" s="22"/>
      <c r="R50" s="22"/>
      <c r="S50" s="22">
        <v>14.279423713684082</v>
      </c>
      <c r="T50" s="22"/>
      <c r="U50" s="22"/>
      <c r="V50" s="22">
        <v>9.8450098037719727</v>
      </c>
      <c r="W50" s="22"/>
      <c r="X50" s="22"/>
      <c r="Y50" s="22">
        <v>9.2469348907470703</v>
      </c>
      <c r="Z50" s="22"/>
      <c r="AA50" s="22"/>
      <c r="AB50" s="22">
        <v>12.372060775756836</v>
      </c>
    </row>
    <row r="51" spans="1:28">
      <c r="A51" s="15" t="s">
        <v>21</v>
      </c>
      <c r="C51" s="22"/>
      <c r="D51" s="22">
        <v>0.14597511291503906</v>
      </c>
      <c r="E51" s="22"/>
      <c r="F51" s="22"/>
      <c r="G51" s="22">
        <v>-0.76610279083251953</v>
      </c>
      <c r="H51" s="22"/>
      <c r="I51" s="22"/>
      <c r="J51" s="22">
        <v>0.26524448394775391</v>
      </c>
      <c r="K51" s="22"/>
      <c r="L51" s="22"/>
      <c r="M51" s="22">
        <v>-5.5668830871582031E-2</v>
      </c>
      <c r="N51" s="22"/>
      <c r="O51" s="22"/>
      <c r="P51" s="22">
        <v>9.9703950881958008</v>
      </c>
      <c r="Q51" s="22"/>
      <c r="R51" s="22"/>
      <c r="S51" s="22">
        <v>8.459986686706543</v>
      </c>
      <c r="T51" s="22"/>
      <c r="U51" s="22"/>
      <c r="V51" s="22">
        <v>6.5398721694946289</v>
      </c>
      <c r="W51" s="22"/>
      <c r="X51" s="22"/>
      <c r="Y51" s="22">
        <v>4.5734405517578125</v>
      </c>
      <c r="Z51" s="22"/>
      <c r="AA51" s="22"/>
      <c r="AB51" s="22">
        <v>8.8095674514770508</v>
      </c>
    </row>
    <row r="52" spans="1:28">
      <c r="A52" s="15" t="s">
        <v>21</v>
      </c>
      <c r="C52" s="22"/>
      <c r="D52" s="22">
        <v>-1.0457010269165039</v>
      </c>
      <c r="E52" s="22"/>
      <c r="F52" s="22"/>
      <c r="G52" s="22">
        <v>-1.7820882797241211</v>
      </c>
      <c r="H52" s="22"/>
      <c r="I52" s="22"/>
      <c r="J52" s="22">
        <v>-4.5716180801391602</v>
      </c>
      <c r="K52" s="22"/>
      <c r="L52" s="22"/>
      <c r="M52" s="22">
        <v>-1.5879983901977539</v>
      </c>
      <c r="N52" s="22"/>
      <c r="O52" s="22"/>
      <c r="P52" s="22">
        <v>6.7889909744262695</v>
      </c>
      <c r="Q52" s="22"/>
      <c r="R52" s="22"/>
      <c r="S52" s="22">
        <v>5.8350639343261719</v>
      </c>
      <c r="T52" s="22"/>
      <c r="U52" s="22"/>
      <c r="V52" s="22">
        <v>2.5520868301391602</v>
      </c>
      <c r="W52" s="22"/>
      <c r="X52" s="22"/>
      <c r="Y52" s="22">
        <v>2.6857481002807617</v>
      </c>
      <c r="Z52" s="22"/>
      <c r="AA52" s="22"/>
      <c r="AB52" s="22">
        <v>4.6226024627685547</v>
      </c>
    </row>
    <row r="53" spans="1:28">
      <c r="A53" s="15" t="s">
        <v>21</v>
      </c>
      <c r="C53" s="22"/>
      <c r="D53" s="22">
        <v>0.92376136779785156</v>
      </c>
      <c r="E53" s="22"/>
      <c r="F53" s="22"/>
      <c r="G53" s="22">
        <v>-0.30994319915771484</v>
      </c>
      <c r="H53" s="22"/>
      <c r="I53" s="22"/>
      <c r="J53" s="22">
        <v>-0.16325950622558594</v>
      </c>
      <c r="K53" s="22"/>
      <c r="L53" s="22"/>
      <c r="M53" s="22">
        <v>1.0182380676269531E-2</v>
      </c>
      <c r="N53" s="22"/>
      <c r="O53" s="22"/>
      <c r="P53" s="22">
        <v>10.48036003112793</v>
      </c>
      <c r="Q53" s="22"/>
      <c r="R53" s="22"/>
      <c r="S53" s="22">
        <v>9.4619274139404297</v>
      </c>
      <c r="T53" s="22"/>
      <c r="U53" s="22"/>
      <c r="V53" s="22">
        <v>6.611485481262207</v>
      </c>
      <c r="W53" s="22"/>
      <c r="X53" s="22"/>
      <c r="Y53" s="22">
        <v>5.8118829727172852</v>
      </c>
      <c r="Z53" s="22"/>
      <c r="AA53" s="22"/>
      <c r="AB53" s="22">
        <v>7.9206924438476562</v>
      </c>
    </row>
    <row r="54" spans="1:28">
      <c r="A54" s="15" t="s">
        <v>21</v>
      </c>
      <c r="C54" s="22"/>
      <c r="D54" s="22">
        <v>0.15644264221191406</v>
      </c>
      <c r="E54" s="22"/>
      <c r="F54" s="22"/>
      <c r="G54" s="22">
        <v>-0.56825447082519531</v>
      </c>
      <c r="H54" s="22"/>
      <c r="I54" s="22"/>
      <c r="J54" s="22">
        <v>-0.43340778350830078</v>
      </c>
      <c r="K54" s="22"/>
      <c r="L54" s="22"/>
      <c r="M54" s="22">
        <v>-1.255859375</v>
      </c>
      <c r="N54" s="22"/>
      <c r="O54" s="22"/>
      <c r="P54" s="22">
        <v>8.9301233291625977</v>
      </c>
      <c r="Q54" s="22"/>
      <c r="R54" s="22"/>
      <c r="S54" s="22">
        <v>7.8547496795654297</v>
      </c>
      <c r="T54" s="22"/>
      <c r="U54" s="22"/>
      <c r="V54" s="22">
        <v>4.1345434188842773</v>
      </c>
      <c r="W54" s="22"/>
      <c r="X54" s="22"/>
      <c r="Y54" s="22">
        <v>4.863987922668457</v>
      </c>
      <c r="Z54" s="22"/>
      <c r="AA54" s="22"/>
      <c r="AB54" s="22">
        <v>6.0073127746582031</v>
      </c>
    </row>
    <row r="55" spans="1:28">
      <c r="A55" s="15" t="s">
        <v>21</v>
      </c>
      <c r="C55" s="22"/>
      <c r="D55" s="22">
        <v>0.51630115509033203</v>
      </c>
      <c r="E55" s="22"/>
      <c r="F55" s="22"/>
      <c r="G55" s="22">
        <v>-5.4256439208984375E-2</v>
      </c>
      <c r="H55" s="22"/>
      <c r="I55" s="22"/>
      <c r="J55" s="22">
        <v>-0.16092967987060547</v>
      </c>
      <c r="K55" s="22"/>
      <c r="L55" s="22"/>
      <c r="M55" s="22">
        <v>-0.37247657775878906</v>
      </c>
      <c r="N55" s="22"/>
      <c r="O55" s="22"/>
      <c r="P55" s="22">
        <v>9.4273080825805664</v>
      </c>
      <c r="Q55" s="22"/>
      <c r="R55" s="22"/>
      <c r="S55" s="22">
        <v>7.9256134033203125</v>
      </c>
      <c r="T55" s="22"/>
      <c r="U55" s="22"/>
      <c r="V55" s="22">
        <v>5.2050600051879883</v>
      </c>
      <c r="W55" s="22"/>
      <c r="X55" s="22"/>
      <c r="Y55" s="22">
        <v>4.9976263046264648</v>
      </c>
      <c r="Z55" s="22"/>
      <c r="AA55" s="22"/>
      <c r="AB55" s="22">
        <v>9.0026369094848633</v>
      </c>
    </row>
    <row r="56" spans="1:28">
      <c r="A56" s="15" t="s">
        <v>21</v>
      </c>
      <c r="C56" s="22"/>
      <c r="D56" s="22">
        <v>-1.2287940979003906</v>
      </c>
      <c r="E56" s="22"/>
      <c r="F56" s="22"/>
      <c r="G56" s="22">
        <v>-1.8628263473510742</v>
      </c>
      <c r="H56" s="22"/>
      <c r="I56" s="22"/>
      <c r="J56" s="22">
        <v>5.8993339538574219E-2</v>
      </c>
      <c r="K56" s="22"/>
      <c r="L56" s="22"/>
      <c r="M56" s="22">
        <v>-0.96110057830810547</v>
      </c>
      <c r="N56" s="22"/>
      <c r="O56" s="22"/>
      <c r="P56" s="22">
        <v>8.0385770797729492</v>
      </c>
      <c r="Q56" s="22"/>
      <c r="R56" s="22"/>
      <c r="S56" s="22">
        <v>5.2491388320922852</v>
      </c>
      <c r="T56" s="22"/>
      <c r="U56" s="22"/>
      <c r="V56" s="22">
        <v>4.4233293533325195</v>
      </c>
      <c r="W56" s="22"/>
      <c r="X56" s="22"/>
      <c r="Y56" s="22">
        <v>1.8848133087158203</v>
      </c>
      <c r="Z56" s="22"/>
      <c r="AA56" s="22"/>
      <c r="AB56" s="22">
        <v>6.1717910766601562</v>
      </c>
    </row>
    <row r="57" spans="1:28">
      <c r="A57" s="15" t="s">
        <v>21</v>
      </c>
      <c r="C57" s="22"/>
      <c r="D57" s="22">
        <v>0.10793495178222656</v>
      </c>
      <c r="E57" s="22"/>
      <c r="F57" s="22"/>
      <c r="G57" s="22">
        <v>-0.50173759460449219</v>
      </c>
      <c r="H57" s="22"/>
      <c r="I57" s="22"/>
      <c r="J57" s="22">
        <v>0.60774517059326172</v>
      </c>
      <c r="K57" s="22"/>
      <c r="L57" s="22"/>
      <c r="M57" s="22">
        <v>-0.84669685363769531</v>
      </c>
      <c r="N57" s="22"/>
      <c r="O57" s="22"/>
      <c r="P57" s="22">
        <v>9.3913726806640625</v>
      </c>
      <c r="Q57" s="22"/>
      <c r="R57" s="22"/>
      <c r="S57" s="22">
        <v>7.7406282424926758</v>
      </c>
      <c r="T57" s="22"/>
      <c r="U57" s="22"/>
      <c r="V57" s="22">
        <v>5.1409521102905273</v>
      </c>
      <c r="W57" s="22"/>
      <c r="X57" s="22"/>
      <c r="Y57" s="22">
        <v>4.6600971221923828</v>
      </c>
      <c r="Z57" s="22"/>
      <c r="AA57" s="22"/>
      <c r="AB57" s="22">
        <v>7.8706188201904297</v>
      </c>
    </row>
    <row r="58" spans="1:28">
      <c r="A58" s="18" t="s">
        <v>21</v>
      </c>
      <c r="C58" s="22"/>
      <c r="D58" s="22">
        <v>0.95290374755859375</v>
      </c>
      <c r="E58" s="22"/>
      <c r="F58" s="22"/>
      <c r="G58" s="22">
        <v>3.1568527221679688E-2</v>
      </c>
      <c r="H58" s="22"/>
      <c r="I58" s="22"/>
      <c r="J58" s="22">
        <v>0.34239482879638672</v>
      </c>
      <c r="K58" s="22"/>
      <c r="L58" s="22"/>
      <c r="M58" s="22">
        <v>-1.3750295639038086</v>
      </c>
      <c r="N58" s="22"/>
      <c r="O58" s="22"/>
      <c r="P58" s="22">
        <v>8.4675397872924805</v>
      </c>
      <c r="Q58" s="22"/>
      <c r="R58" s="22"/>
      <c r="S58" s="22">
        <v>8.7263946533203125</v>
      </c>
      <c r="T58" s="22"/>
      <c r="U58" s="22"/>
      <c r="V58" s="22">
        <v>4.8832311630249023</v>
      </c>
      <c r="W58" s="22"/>
      <c r="X58" s="22"/>
      <c r="Y58" s="22">
        <v>5.5753355026245117</v>
      </c>
      <c r="Z58" s="22"/>
      <c r="AA58" s="22"/>
      <c r="AB58" s="22">
        <v>8.1503877639770508</v>
      </c>
    </row>
    <row r="59" spans="1:28">
      <c r="A59" s="15" t="s">
        <v>21</v>
      </c>
      <c r="C59" s="22"/>
      <c r="D59" s="22">
        <v>-0.83480930328369141</v>
      </c>
      <c r="E59" s="22"/>
      <c r="F59" s="22"/>
      <c r="G59" s="22">
        <v>-1.5448436737060547</v>
      </c>
      <c r="H59" s="22"/>
      <c r="I59" s="22"/>
      <c r="J59" s="22">
        <v>-0.77223587036132812</v>
      </c>
      <c r="K59" s="22"/>
      <c r="L59" s="22"/>
      <c r="M59" s="22">
        <v>-1.7559604644775391</v>
      </c>
      <c r="N59" s="22"/>
      <c r="O59" s="22"/>
      <c r="P59" s="22">
        <v>6.6040239334106445</v>
      </c>
      <c r="Q59" s="22"/>
      <c r="R59" s="22"/>
      <c r="S59" s="22">
        <v>5.7629566192626953</v>
      </c>
      <c r="T59" s="22"/>
      <c r="U59" s="22"/>
      <c r="V59" s="22">
        <v>3.6747303009033203</v>
      </c>
      <c r="W59" s="22"/>
      <c r="X59" s="22"/>
      <c r="Y59" s="22">
        <v>3.0021858215332031</v>
      </c>
      <c r="Z59" s="22"/>
      <c r="AA59" s="22"/>
      <c r="AB59" s="22">
        <v>5.7051668167114258</v>
      </c>
    </row>
    <row r="60" spans="1:28">
      <c r="A60" s="15" t="s">
        <v>21</v>
      </c>
      <c r="C60" s="22"/>
      <c r="D60" s="22">
        <v>0.83312416076660156</v>
      </c>
      <c r="E60" s="22"/>
      <c r="F60" s="22"/>
      <c r="G60" s="22">
        <v>-0.43819046020507812</v>
      </c>
      <c r="H60" s="22"/>
      <c r="I60" s="22"/>
      <c r="J60" s="22">
        <v>-1.7208185195922852</v>
      </c>
      <c r="K60" s="22"/>
      <c r="L60" s="22"/>
      <c r="M60" s="22">
        <v>-0.94579982757568359</v>
      </c>
      <c r="N60" s="22"/>
      <c r="O60" s="22"/>
      <c r="P60" s="22">
        <v>10.147696495056152</v>
      </c>
      <c r="Q60" s="22"/>
      <c r="R60" s="22"/>
      <c r="S60" s="22">
        <v>9.5560464859008789</v>
      </c>
      <c r="T60" s="22"/>
      <c r="U60" s="22"/>
      <c r="V60" s="22">
        <v>3.8994503021240234</v>
      </c>
      <c r="W60" s="22"/>
      <c r="X60" s="22"/>
      <c r="Y60" s="22">
        <v>5.8479080200195312</v>
      </c>
      <c r="Z60" s="22"/>
      <c r="AA60" s="22"/>
      <c r="AB60" s="22">
        <v>8.0350313186645508</v>
      </c>
    </row>
    <row r="61" spans="1:28">
      <c r="A61" s="15" t="s">
        <v>21</v>
      </c>
      <c r="C61" s="22"/>
      <c r="D61" s="22">
        <v>3.0572700500488281</v>
      </c>
      <c r="E61" s="22"/>
      <c r="F61" s="22"/>
      <c r="G61" s="22">
        <v>0.47405052185058594</v>
      </c>
      <c r="H61" s="22"/>
      <c r="I61" s="22"/>
      <c r="J61" s="22">
        <v>-0.16201305389404297</v>
      </c>
      <c r="K61" s="22"/>
      <c r="L61" s="22"/>
      <c r="M61" s="22">
        <v>-0.11476993560791016</v>
      </c>
      <c r="N61" s="22"/>
      <c r="O61" s="22"/>
      <c r="P61" s="22">
        <v>11.779196739196777</v>
      </c>
      <c r="Q61" s="22"/>
      <c r="R61" s="22"/>
      <c r="S61" s="22">
        <v>12.579204559326172</v>
      </c>
      <c r="T61" s="22"/>
      <c r="U61" s="22"/>
      <c r="V61" s="22">
        <v>5.8614845275878906</v>
      </c>
      <c r="W61" s="22"/>
      <c r="X61" s="22"/>
      <c r="Y61" s="22">
        <v>7.8949527740478516</v>
      </c>
      <c r="Z61" s="22"/>
      <c r="AA61" s="22"/>
      <c r="AB61" s="22">
        <v>10.088569641113281</v>
      </c>
    </row>
    <row r="62" spans="1:28">
      <c r="A62" s="15" t="s">
        <v>21</v>
      </c>
      <c r="C62" s="22"/>
      <c r="D62" s="22">
        <v>0.36842632293701172</v>
      </c>
      <c r="E62" s="22"/>
      <c r="F62" s="22"/>
      <c r="G62" s="22">
        <v>-0.75773334503173828</v>
      </c>
      <c r="H62" s="22"/>
      <c r="I62" s="22"/>
      <c r="J62" s="22">
        <v>-1.1002511978149414</v>
      </c>
      <c r="K62" s="22"/>
      <c r="L62" s="22"/>
      <c r="M62" s="22">
        <v>0.94937324523925781</v>
      </c>
      <c r="N62" s="22"/>
      <c r="O62" s="22"/>
      <c r="P62" s="22">
        <v>10.233434677124023</v>
      </c>
      <c r="Q62" s="22"/>
      <c r="R62" s="22"/>
      <c r="S62" s="22">
        <v>9.6720485687255859</v>
      </c>
      <c r="T62" s="22"/>
      <c r="U62" s="22"/>
      <c r="V62" s="22">
        <v>6.2877635955810547</v>
      </c>
      <c r="W62" s="22"/>
      <c r="X62" s="22"/>
      <c r="Y62" s="22">
        <v>5.4468355178833008</v>
      </c>
      <c r="Z62" s="22"/>
      <c r="AA62" s="22"/>
      <c r="AB62" s="22">
        <v>7.6242761611938477</v>
      </c>
    </row>
    <row r="63" spans="1:28">
      <c r="A63" s="15" t="s">
        <v>21</v>
      </c>
      <c r="C63" s="22"/>
      <c r="D63" s="22">
        <v>0.31610298156738281</v>
      </c>
      <c r="E63" s="22"/>
      <c r="F63" s="22"/>
      <c r="G63" s="22">
        <v>-0.92642974853515625</v>
      </c>
      <c r="H63" s="22"/>
      <c r="I63" s="22"/>
      <c r="J63" s="22">
        <v>0.16565608978271484</v>
      </c>
      <c r="K63" s="22"/>
      <c r="L63" s="22"/>
      <c r="M63" s="22">
        <v>-1.2355661392211914</v>
      </c>
      <c r="N63" s="22"/>
      <c r="O63" s="22"/>
      <c r="P63" s="22">
        <v>9.9074268341064453</v>
      </c>
      <c r="Q63" s="22"/>
      <c r="R63" s="22"/>
      <c r="S63" s="22">
        <v>10.761117935180664</v>
      </c>
      <c r="T63" s="22"/>
      <c r="U63" s="22"/>
      <c r="V63" s="22">
        <v>4.9076166152954102</v>
      </c>
      <c r="W63" s="22"/>
      <c r="X63" s="22"/>
      <c r="Y63" s="22">
        <v>5.2560911178588867</v>
      </c>
      <c r="Z63" s="22"/>
      <c r="AA63" s="22"/>
      <c r="AB63" s="22">
        <v>7.5485200881958008</v>
      </c>
    </row>
    <row r="64" spans="1:28">
      <c r="A64" s="15" t="s">
        <v>21</v>
      </c>
      <c r="C64" s="22"/>
      <c r="D64" s="22">
        <v>3.1164913177490234</v>
      </c>
      <c r="E64" s="22"/>
      <c r="F64" s="22"/>
      <c r="G64" s="22">
        <v>0.56450080871582031</v>
      </c>
      <c r="H64" s="22"/>
      <c r="I64" s="22"/>
      <c r="J64" s="22">
        <v>-1.5325889587402344</v>
      </c>
      <c r="K64" s="22"/>
      <c r="L64" s="22"/>
      <c r="M64" s="22">
        <v>-0.33943939208984375</v>
      </c>
      <c r="N64" s="22"/>
      <c r="O64" s="22"/>
      <c r="P64" s="22">
        <v>11.466300010681152</v>
      </c>
      <c r="Q64" s="22"/>
      <c r="R64" s="22"/>
      <c r="S64" s="22">
        <v>12.706363677978516</v>
      </c>
      <c r="T64" s="22"/>
      <c r="U64" s="22"/>
      <c r="V64" s="22">
        <v>5.8764429092407227</v>
      </c>
      <c r="W64" s="22"/>
      <c r="X64" s="22"/>
      <c r="Y64" s="22">
        <v>8.185978889465332</v>
      </c>
      <c r="Z64" s="22"/>
      <c r="AA64" s="22"/>
      <c r="AB64" s="22">
        <v>10.109092712402344</v>
      </c>
    </row>
    <row r="65" spans="1:28">
      <c r="A65" s="15" t="s">
        <v>21</v>
      </c>
      <c r="C65" s="22"/>
      <c r="D65" s="22">
        <v>4.2762966156005859</v>
      </c>
      <c r="E65" s="22"/>
      <c r="F65" s="22"/>
      <c r="G65" s="22">
        <v>0.58612251281738281</v>
      </c>
      <c r="H65" s="22"/>
      <c r="I65" s="22"/>
      <c r="J65" s="22">
        <v>0.58256816864013672</v>
      </c>
      <c r="K65" s="22"/>
      <c r="L65" s="22"/>
      <c r="M65" s="22">
        <v>-0.35469150543212891</v>
      </c>
      <c r="N65" s="22"/>
      <c r="O65" s="22"/>
      <c r="P65" s="22">
        <v>10.914410591125488</v>
      </c>
      <c r="Q65" s="22"/>
      <c r="R65" s="22"/>
      <c r="S65" s="22">
        <v>13.033177375793457</v>
      </c>
      <c r="T65" s="22"/>
      <c r="U65" s="22"/>
      <c r="V65" s="22">
        <v>5.124730110168457</v>
      </c>
      <c r="W65" s="22"/>
      <c r="X65" s="22"/>
      <c r="Y65" s="22">
        <v>8.7672157287597656</v>
      </c>
      <c r="Z65" s="22"/>
      <c r="AA65" s="22"/>
      <c r="AB65" s="22">
        <v>10.306233406066895</v>
      </c>
    </row>
    <row r="66" spans="1:28">
      <c r="A66" s="15" t="s">
        <v>21</v>
      </c>
      <c r="C66" s="22"/>
      <c r="D66" s="22">
        <v>3.3088159561157227</v>
      </c>
      <c r="E66" s="22"/>
      <c r="F66" s="22"/>
      <c r="G66" s="22">
        <v>0.71337890625</v>
      </c>
      <c r="H66" s="22"/>
      <c r="I66" s="22"/>
      <c r="J66" s="22">
        <v>9.4586372375488281E-2</v>
      </c>
      <c r="K66" s="22"/>
      <c r="L66" s="22"/>
      <c r="M66" s="22">
        <v>-7.9252243041992188E-2</v>
      </c>
      <c r="N66" s="22"/>
      <c r="O66" s="22"/>
      <c r="P66" s="22">
        <v>10.587785720825195</v>
      </c>
      <c r="Q66" s="22"/>
      <c r="R66" s="22"/>
      <c r="S66" s="22">
        <v>11.999228477478027</v>
      </c>
      <c r="T66" s="22"/>
      <c r="U66" s="22"/>
      <c r="V66" s="22">
        <v>5.8557586669921875</v>
      </c>
      <c r="W66" s="22"/>
      <c r="X66" s="22"/>
      <c r="Y66" s="22">
        <v>8.4207868576049805</v>
      </c>
      <c r="Z66" s="22"/>
      <c r="AA66" s="22"/>
      <c r="AB66" s="22">
        <v>10.748031616210938</v>
      </c>
    </row>
    <row r="67" spans="1:28">
      <c r="A67" s="15" t="s">
        <v>21</v>
      </c>
      <c r="C67" s="22"/>
      <c r="D67" s="22">
        <v>0.72012996673583984</v>
      </c>
      <c r="E67" s="22"/>
      <c r="F67" s="22"/>
      <c r="G67" s="22">
        <v>-0.70659542083740234</v>
      </c>
      <c r="H67" s="22"/>
      <c r="I67" s="22"/>
      <c r="J67" s="22">
        <v>-1.867030143737793</v>
      </c>
      <c r="K67" s="22"/>
      <c r="L67" s="22"/>
      <c r="M67" s="22">
        <v>-1.375666618347168</v>
      </c>
      <c r="N67" s="22"/>
      <c r="O67" s="22"/>
      <c r="P67" s="22">
        <v>9.121917724609375</v>
      </c>
      <c r="Q67" s="22"/>
      <c r="R67" s="22"/>
      <c r="S67" s="22">
        <v>9.0277986526489258</v>
      </c>
      <c r="T67" s="22"/>
      <c r="U67" s="22"/>
      <c r="V67" s="22">
        <v>3.4742059707641602</v>
      </c>
      <c r="W67" s="22"/>
      <c r="X67" s="22"/>
      <c r="Y67" s="22">
        <v>5.6609153747558594</v>
      </c>
      <c r="Z67" s="22"/>
      <c r="AA67" s="22"/>
      <c r="AB67" s="22">
        <v>7.0590124130249023</v>
      </c>
    </row>
    <row r="68" spans="1:28">
      <c r="A68" s="15" t="s">
        <v>21</v>
      </c>
      <c r="C68" s="22"/>
      <c r="D68" s="22">
        <v>0.53758907318115234</v>
      </c>
      <c r="E68" s="22"/>
      <c r="F68" s="22"/>
      <c r="G68" s="22">
        <v>-0.72754955291748047</v>
      </c>
      <c r="H68" s="22"/>
      <c r="I68" s="22"/>
      <c r="J68" s="22">
        <v>-0.66925907135009766</v>
      </c>
      <c r="K68" s="22"/>
      <c r="L68" s="22"/>
      <c r="M68" s="22">
        <v>-0.53852939605712891</v>
      </c>
      <c r="N68" s="22"/>
      <c r="O68" s="22"/>
      <c r="P68" s="22">
        <v>10.672788619995117</v>
      </c>
      <c r="Q68" s="22"/>
      <c r="R68" s="22"/>
      <c r="S68" s="22">
        <v>9.3328704833984375</v>
      </c>
      <c r="T68" s="22"/>
      <c r="U68" s="22"/>
      <c r="V68" s="22">
        <v>4.7250518798828125</v>
      </c>
      <c r="W68" s="22"/>
      <c r="X68" s="22"/>
      <c r="Y68" s="22">
        <v>5.5451173782348633</v>
      </c>
      <c r="Z68" s="22"/>
      <c r="AA68" s="22"/>
      <c r="AB68" s="22">
        <v>7.9885072708129883</v>
      </c>
    </row>
    <row r="69" spans="1:28">
      <c r="A69" s="15" t="s">
        <v>21</v>
      </c>
      <c r="C69" s="22"/>
      <c r="D69" s="22">
        <v>1.2177915573120117</v>
      </c>
      <c r="E69" s="22"/>
      <c r="F69" s="22"/>
      <c r="G69" s="22">
        <v>-0.31267738342285156</v>
      </c>
      <c r="H69" s="22"/>
      <c r="I69" s="22"/>
      <c r="J69" s="22">
        <v>-0.5135040283203125</v>
      </c>
      <c r="K69" s="22"/>
      <c r="L69" s="22"/>
      <c r="M69" s="22">
        <v>-0.13758754730224609</v>
      </c>
      <c r="N69" s="22"/>
      <c r="O69" s="22"/>
      <c r="P69" s="22">
        <v>10.645256042480469</v>
      </c>
      <c r="Q69" s="22"/>
      <c r="R69" s="22"/>
      <c r="S69" s="22">
        <v>10.09465217590332</v>
      </c>
      <c r="T69" s="22"/>
      <c r="U69" s="22"/>
      <c r="V69" s="22">
        <v>5.6154613494873047</v>
      </c>
      <c r="W69" s="22"/>
      <c r="X69" s="22"/>
      <c r="Y69" s="22">
        <v>6.5801839828491211</v>
      </c>
      <c r="Z69" s="22"/>
      <c r="AA69" s="22"/>
      <c r="AB69" s="22">
        <v>8.1275539398193359</v>
      </c>
    </row>
    <row r="70" spans="1:28">
      <c r="A70" s="15" t="s">
        <v>21</v>
      </c>
      <c r="C70" s="22"/>
      <c r="D70" s="22">
        <v>2.914311408996582</v>
      </c>
      <c r="E70" s="22"/>
      <c r="F70" s="22"/>
      <c r="G70" s="22">
        <v>0.51705551147460938</v>
      </c>
      <c r="H70" s="22"/>
      <c r="I70" s="22"/>
      <c r="J70" s="22">
        <v>-2.0060539245605469E-2</v>
      </c>
      <c r="K70" s="22"/>
      <c r="L70" s="22"/>
      <c r="M70" s="22">
        <v>-7.8505516052246094E-2</v>
      </c>
      <c r="N70" s="22"/>
      <c r="O70" s="22"/>
      <c r="P70" s="22">
        <v>9.5433282852172852</v>
      </c>
      <c r="Q70" s="22"/>
      <c r="R70" s="22"/>
      <c r="S70" s="22">
        <v>9.0095863342285156</v>
      </c>
      <c r="T70" s="22"/>
      <c r="U70" s="22"/>
      <c r="V70" s="22">
        <v>5.8836698532104492</v>
      </c>
      <c r="W70" s="22"/>
      <c r="X70" s="22"/>
      <c r="Y70" s="22">
        <v>6.099360466003418</v>
      </c>
      <c r="Z70" s="22"/>
      <c r="AA70" s="22"/>
      <c r="AB70" s="22">
        <v>9.3645114898681641</v>
      </c>
    </row>
    <row r="71" spans="1:28">
      <c r="A71" s="15" t="s">
        <v>21</v>
      </c>
      <c r="C71" s="22"/>
      <c r="D71" s="22">
        <v>-1.0647106170654297</v>
      </c>
      <c r="E71" s="22"/>
      <c r="F71" s="22"/>
      <c r="G71" s="22">
        <v>-1.7593040466308594</v>
      </c>
      <c r="H71" s="22"/>
      <c r="I71" s="22"/>
      <c r="J71" s="22">
        <v>0.44850730895996094</v>
      </c>
      <c r="K71" s="22"/>
      <c r="L71" s="22"/>
      <c r="M71" s="22">
        <v>-1.1494588851928711</v>
      </c>
      <c r="N71" s="22"/>
      <c r="O71" s="22"/>
      <c r="P71" s="22">
        <v>7.4060955047607422</v>
      </c>
      <c r="Q71" s="22"/>
      <c r="R71" s="22"/>
      <c r="S71" s="22">
        <v>4.329010009765625</v>
      </c>
      <c r="T71" s="22"/>
      <c r="U71" s="22"/>
      <c r="V71" s="22">
        <v>4.8217763900756836</v>
      </c>
      <c r="W71" s="22"/>
      <c r="X71" s="22"/>
      <c r="Y71" s="22">
        <v>2.3416051864624023</v>
      </c>
      <c r="Z71" s="22"/>
      <c r="AA71" s="22"/>
      <c r="AB71" s="22">
        <v>5.9986648559570312</v>
      </c>
    </row>
    <row r="72" spans="1:28">
      <c r="A72" s="15" t="s">
        <v>21</v>
      </c>
      <c r="C72" s="22"/>
      <c r="D72" s="22">
        <v>0.92805099487304688</v>
      </c>
      <c r="E72" s="22"/>
      <c r="F72" s="22"/>
      <c r="G72" s="22">
        <v>-0.21642208099365234</v>
      </c>
      <c r="H72" s="22"/>
      <c r="I72" s="22"/>
      <c r="J72" s="22">
        <v>-0.37881851196289062</v>
      </c>
      <c r="K72" s="22"/>
      <c r="L72" s="22"/>
      <c r="M72" s="22">
        <v>-1.4671363830566406</v>
      </c>
      <c r="N72" s="22"/>
      <c r="O72" s="22"/>
      <c r="P72" s="22">
        <v>9.4397182464599609</v>
      </c>
      <c r="Q72" s="22"/>
      <c r="R72" s="22"/>
      <c r="S72" s="22">
        <v>8.0028266906738281</v>
      </c>
      <c r="T72" s="22"/>
      <c r="U72" s="22"/>
      <c r="V72" s="22">
        <v>4.5028314590454102</v>
      </c>
      <c r="W72" s="22"/>
      <c r="X72" s="22"/>
      <c r="Y72" s="22">
        <v>5.0748319625854492</v>
      </c>
      <c r="Z72" s="22"/>
      <c r="AA72" s="22"/>
      <c r="AB72" s="22">
        <v>7.5505180358886719</v>
      </c>
    </row>
    <row r="73" spans="1:28">
      <c r="A73" s="15" t="s">
        <v>21</v>
      </c>
      <c r="C73" s="22"/>
      <c r="D73" s="22">
        <v>8.9656829833984375E-2</v>
      </c>
      <c r="E73" s="22"/>
      <c r="F73" s="22"/>
      <c r="G73" s="22">
        <v>-1.0228481292724609</v>
      </c>
      <c r="H73" s="22"/>
      <c r="I73" s="22"/>
      <c r="J73" s="22">
        <v>0.16859817504882812</v>
      </c>
      <c r="K73" s="22"/>
      <c r="L73" s="22"/>
      <c r="M73" s="22">
        <v>-0.9325408935546875</v>
      </c>
      <c r="N73" s="22"/>
      <c r="O73" s="22"/>
      <c r="P73" s="22">
        <v>9.2389430999755859</v>
      </c>
      <c r="Q73" s="22"/>
      <c r="R73" s="22"/>
      <c r="S73" s="22">
        <v>6.9429187774658203</v>
      </c>
      <c r="T73" s="22"/>
      <c r="U73" s="22"/>
      <c r="V73" s="22">
        <v>4.4421405792236328</v>
      </c>
      <c r="W73" s="22"/>
      <c r="X73" s="22"/>
      <c r="Y73" s="22">
        <v>4.3420562744140625</v>
      </c>
      <c r="Z73" s="22"/>
      <c r="AA73" s="22"/>
      <c r="AB73" s="22">
        <v>6.621607780456543</v>
      </c>
    </row>
    <row r="74" spans="1:28">
      <c r="A74" s="15" t="s">
        <v>21</v>
      </c>
      <c r="C74" s="22"/>
      <c r="D74" s="22">
        <v>0.26403903961181641</v>
      </c>
      <c r="E74" s="22"/>
      <c r="F74" s="22"/>
      <c r="G74" s="22">
        <v>-0.36128044128417969</v>
      </c>
      <c r="H74" s="22"/>
      <c r="I74" s="22"/>
      <c r="J74" s="22">
        <v>-0.66034221649169922</v>
      </c>
      <c r="K74" s="22"/>
      <c r="L74" s="22"/>
      <c r="M74" s="22">
        <v>-0.47785282135009766</v>
      </c>
      <c r="N74" s="22"/>
      <c r="O74" s="22"/>
      <c r="P74" s="22">
        <v>10.792903900146484</v>
      </c>
      <c r="Q74" s="22"/>
      <c r="R74" s="22"/>
      <c r="S74" s="22">
        <v>7.0296964645385742</v>
      </c>
      <c r="T74" s="22"/>
      <c r="U74" s="22"/>
      <c r="V74" s="22">
        <v>5.6344995498657227</v>
      </c>
      <c r="W74" s="22"/>
      <c r="X74" s="22"/>
      <c r="Y74" s="22">
        <v>4.4820575714111328</v>
      </c>
      <c r="Z74" s="22"/>
      <c r="AA74" s="22"/>
      <c r="AB74" s="22">
        <v>7.6425380706787109</v>
      </c>
    </row>
    <row r="75" spans="1:28">
      <c r="A75" s="15" t="s">
        <v>21</v>
      </c>
      <c r="C75" s="22"/>
      <c r="D75" s="22">
        <v>-0.31306266784667969</v>
      </c>
      <c r="E75" s="22"/>
      <c r="F75" s="22"/>
      <c r="G75" s="22">
        <v>-1.1537265777587891</v>
      </c>
      <c r="H75" s="22"/>
      <c r="I75" s="22"/>
      <c r="J75" s="22">
        <v>-1.1498050689697266</v>
      </c>
      <c r="K75" s="22"/>
      <c r="L75" s="22"/>
      <c r="M75" s="22">
        <v>-1.1261959075927734</v>
      </c>
      <c r="N75" s="22"/>
      <c r="O75" s="22"/>
      <c r="P75" s="22">
        <v>8.4197473526000977</v>
      </c>
      <c r="Q75" s="22"/>
      <c r="R75" s="22"/>
      <c r="S75" s="22">
        <v>6.7232522964477539</v>
      </c>
      <c r="T75" s="22"/>
      <c r="U75" s="22"/>
      <c r="V75" s="22">
        <v>4.1430883407592773</v>
      </c>
      <c r="W75" s="22"/>
      <c r="X75" s="22"/>
      <c r="Y75" s="22">
        <v>3.7143716812133789</v>
      </c>
      <c r="Z75" s="22"/>
      <c r="AA75" s="22"/>
      <c r="AB75" s="22">
        <v>6.4501276016235352</v>
      </c>
    </row>
    <row r="76" spans="1:28">
      <c r="A76" s="15" t="s">
        <v>21</v>
      </c>
      <c r="C76" s="22"/>
      <c r="D76" s="22">
        <v>-1.0789117813110352</v>
      </c>
      <c r="E76" s="22"/>
      <c r="F76" s="22"/>
      <c r="G76" s="22">
        <v>-1.8318710327148438</v>
      </c>
      <c r="H76" s="22"/>
      <c r="I76" s="22"/>
      <c r="J76" s="22">
        <v>-0.72544956207275391</v>
      </c>
      <c r="K76" s="22"/>
      <c r="L76" s="22"/>
      <c r="M76" s="22">
        <v>-0.78450202941894531</v>
      </c>
      <c r="N76" s="22"/>
      <c r="O76" s="22"/>
      <c r="P76" s="22">
        <v>8.3951845169067383</v>
      </c>
      <c r="Q76" s="22"/>
      <c r="R76" s="22"/>
      <c r="S76" s="22">
        <v>5.4463958740234375</v>
      </c>
      <c r="T76" s="22"/>
      <c r="U76" s="22"/>
      <c r="V76" s="22">
        <v>5.1123723983764648</v>
      </c>
      <c r="W76" s="22"/>
      <c r="X76" s="22"/>
      <c r="Y76" s="22">
        <v>2.6597614288330078</v>
      </c>
      <c r="Z76" s="22"/>
      <c r="AA76" s="22"/>
      <c r="AB76" s="22">
        <v>6.6284761428833008</v>
      </c>
    </row>
    <row r="77" spans="1:28">
      <c r="A77" s="15" t="s">
        <v>21</v>
      </c>
      <c r="C77" s="22"/>
      <c r="D77" s="22">
        <v>1.7936172485351562</v>
      </c>
      <c r="E77" s="22"/>
      <c r="F77" s="22"/>
      <c r="G77" s="22">
        <v>-0.5441131591796875</v>
      </c>
      <c r="H77" s="22"/>
      <c r="I77" s="22"/>
      <c r="J77" s="22">
        <v>0.214813232421875</v>
      </c>
      <c r="K77" s="22"/>
      <c r="L77" s="22"/>
      <c r="M77" s="22">
        <v>0.47507286071777344</v>
      </c>
      <c r="N77" s="22"/>
      <c r="O77" s="22"/>
      <c r="P77" s="22">
        <v>10.141468048095703</v>
      </c>
      <c r="Q77" s="22"/>
      <c r="R77" s="22"/>
      <c r="S77" s="22">
        <v>9.2165069580078125</v>
      </c>
      <c r="T77" s="22"/>
      <c r="U77" s="22"/>
      <c r="V77" s="22">
        <v>7.2963294982910156</v>
      </c>
      <c r="W77" s="22"/>
      <c r="X77" s="22"/>
      <c r="Y77" s="22">
        <v>5.7919206619262695</v>
      </c>
      <c r="Z77" s="22"/>
      <c r="AA77" s="22"/>
      <c r="AB77" s="22">
        <v>8.7914638519287109</v>
      </c>
    </row>
    <row r="78" spans="1:28">
      <c r="A78" s="15" t="s">
        <v>21</v>
      </c>
      <c r="C78" s="22"/>
      <c r="D78" s="22">
        <v>-0.26519775390625</v>
      </c>
      <c r="E78" s="22"/>
      <c r="F78" s="22"/>
      <c r="G78" s="22">
        <v>-2.7642250061035156</v>
      </c>
      <c r="H78" s="22"/>
      <c r="I78" s="22"/>
      <c r="J78" s="22">
        <v>-0.22781658172607422</v>
      </c>
      <c r="K78" s="22"/>
      <c r="L78" s="22"/>
      <c r="M78" s="22">
        <v>0.31193161010742188</v>
      </c>
      <c r="N78" s="22"/>
      <c r="O78" s="22"/>
      <c r="P78" s="22">
        <v>11.814713478088379</v>
      </c>
      <c r="Q78" s="22"/>
      <c r="R78" s="22"/>
      <c r="S78" s="22">
        <v>6.9502840042114258</v>
      </c>
      <c r="T78" s="22"/>
      <c r="U78" s="22"/>
      <c r="V78" s="22">
        <v>6.331782341003418</v>
      </c>
      <c r="W78" s="22"/>
      <c r="X78" s="22"/>
      <c r="Y78" s="22">
        <v>3.962672233581543</v>
      </c>
      <c r="Z78" s="22"/>
      <c r="AA78" s="22"/>
      <c r="AB78" s="22">
        <v>7.4659996032714844</v>
      </c>
    </row>
    <row r="79" spans="1:28">
      <c r="A79" s="15" t="s">
        <v>21</v>
      </c>
      <c r="C79" s="22"/>
      <c r="D79" s="22">
        <v>-0.81647872924804688</v>
      </c>
      <c r="E79" s="22"/>
      <c r="F79" s="22"/>
      <c r="G79" s="22">
        <v>-1.5994949340820312</v>
      </c>
      <c r="H79" s="22"/>
      <c r="I79" s="22"/>
      <c r="J79" s="22">
        <v>-0.78371620178222656</v>
      </c>
      <c r="K79" s="22"/>
      <c r="L79" s="22"/>
      <c r="M79" s="22">
        <v>-0.84615993499755859</v>
      </c>
      <c r="N79" s="22"/>
      <c r="O79" s="22"/>
      <c r="P79" s="22">
        <v>7.8769512176513672</v>
      </c>
      <c r="Q79" s="22"/>
      <c r="R79" s="22"/>
      <c r="S79" s="22">
        <v>6.1267776489257812</v>
      </c>
      <c r="T79" s="22"/>
      <c r="U79" s="22"/>
      <c r="V79" s="22">
        <v>4.6204538345336914</v>
      </c>
      <c r="W79" s="22"/>
      <c r="X79" s="22"/>
      <c r="Y79" s="22">
        <v>3.2850561141967773</v>
      </c>
      <c r="Z79" s="22"/>
      <c r="AA79" s="22"/>
      <c r="AB79" s="22">
        <v>5.5557804107666016</v>
      </c>
    </row>
    <row r="80" spans="1:28">
      <c r="A80" s="15" t="s">
        <v>21</v>
      </c>
      <c r="C80" s="22"/>
      <c r="D80" s="22">
        <v>-1.0522966384887695</v>
      </c>
      <c r="E80" s="22"/>
      <c r="F80" s="22"/>
      <c r="G80" s="22">
        <v>-1.7587947845458984</v>
      </c>
      <c r="H80" s="22"/>
      <c r="I80" s="22"/>
      <c r="J80" s="22">
        <v>-0.84837913513183594</v>
      </c>
      <c r="K80" s="22"/>
      <c r="L80" s="22"/>
      <c r="M80" s="22">
        <v>-1.0421857833862305</v>
      </c>
      <c r="N80" s="22"/>
      <c r="O80" s="22"/>
      <c r="P80" s="22">
        <v>7.5685100555419922</v>
      </c>
      <c r="Q80" s="22"/>
      <c r="R80" s="22"/>
      <c r="S80" s="22">
        <v>4.1660213470458984</v>
      </c>
      <c r="T80" s="22"/>
      <c r="U80" s="22"/>
      <c r="V80" s="22">
        <v>3.6917657852172852</v>
      </c>
      <c r="W80" s="22"/>
      <c r="X80" s="22"/>
      <c r="Y80" s="22">
        <v>2.4059419631958008</v>
      </c>
      <c r="Z80" s="22"/>
      <c r="AA80" s="22"/>
      <c r="AB80" s="22">
        <v>5.8915176391601562</v>
      </c>
    </row>
    <row r="81" spans="1:28">
      <c r="A81" s="15" t="s">
        <v>21</v>
      </c>
      <c r="C81" s="22"/>
      <c r="D81" s="22">
        <v>-0.98322391510009766</v>
      </c>
      <c r="E81" s="22"/>
      <c r="F81" s="22"/>
      <c r="G81" s="22">
        <v>-1.6455097198486328</v>
      </c>
      <c r="H81" s="22"/>
      <c r="I81" s="22"/>
      <c r="J81" s="22">
        <v>-1.7955656051635742</v>
      </c>
      <c r="K81" s="22"/>
      <c r="L81" s="22"/>
      <c r="M81" s="22">
        <v>-1.4786567687988281</v>
      </c>
      <c r="N81" s="22"/>
      <c r="O81" s="22"/>
      <c r="P81" s="22">
        <v>7.2135486602783203</v>
      </c>
      <c r="Q81" s="22"/>
      <c r="R81" s="22"/>
      <c r="S81" s="22">
        <v>4.2632036209106445</v>
      </c>
      <c r="T81" s="22"/>
      <c r="U81" s="22"/>
      <c r="V81" s="22">
        <v>3.1715736389160156</v>
      </c>
      <c r="W81" s="22"/>
      <c r="X81" s="22"/>
      <c r="Y81" s="22">
        <v>2.6579008102416992</v>
      </c>
      <c r="Z81" s="22"/>
      <c r="AA81" s="22"/>
      <c r="AB81" s="22">
        <v>5.9660186767578125</v>
      </c>
    </row>
    <row r="82" spans="1:28">
      <c r="A82" s="15" t="s">
        <v>21</v>
      </c>
      <c r="C82" s="22"/>
      <c r="D82" s="22">
        <v>-0.92435073852539062</v>
      </c>
      <c r="E82" s="22"/>
      <c r="F82" s="22"/>
      <c r="G82" s="22">
        <v>-1.5840883255004883</v>
      </c>
      <c r="H82" s="22"/>
      <c r="I82" s="22"/>
      <c r="J82" s="22">
        <v>-3.5615177154541016</v>
      </c>
      <c r="K82" s="22"/>
      <c r="L82" s="22"/>
      <c r="M82" s="22">
        <v>-2.2806034088134766</v>
      </c>
      <c r="N82" s="22"/>
      <c r="O82" s="22"/>
      <c r="P82" s="22">
        <v>6.3295822143554688</v>
      </c>
      <c r="Q82" s="22"/>
      <c r="R82" s="22"/>
      <c r="S82" s="22">
        <v>4.7537622451782227</v>
      </c>
      <c r="T82" s="22"/>
      <c r="U82" s="22"/>
      <c r="V82" s="22">
        <v>2.8924226760864258</v>
      </c>
      <c r="W82" s="22"/>
      <c r="X82" s="22"/>
      <c r="Y82" s="22">
        <v>2.7965669631958008</v>
      </c>
      <c r="Z82" s="22"/>
      <c r="AA82" s="22"/>
      <c r="AB82" s="22">
        <v>5.0848073959350586</v>
      </c>
    </row>
    <row r="83" spans="1:28">
      <c r="A83" s="15" t="s">
        <v>21</v>
      </c>
      <c r="C83" s="22"/>
      <c r="D83" s="22">
        <v>-1.771794319152832</v>
      </c>
      <c r="E83" s="22"/>
      <c r="F83" s="22"/>
      <c r="G83" s="22">
        <v>-2.5147819519042969</v>
      </c>
      <c r="H83" s="22"/>
      <c r="I83" s="22"/>
      <c r="J83" s="22">
        <v>-3.8525581359863281E-2</v>
      </c>
      <c r="K83" s="22"/>
      <c r="L83" s="22"/>
      <c r="M83" s="22">
        <v>-2.0272064208984375</v>
      </c>
      <c r="N83" s="22"/>
      <c r="O83" s="22"/>
      <c r="P83" s="22">
        <v>7.4361238479614258</v>
      </c>
      <c r="Q83" s="22"/>
      <c r="R83" s="22"/>
      <c r="S83" s="22">
        <v>3.4389438629150391</v>
      </c>
      <c r="T83" s="22"/>
      <c r="U83" s="22"/>
      <c r="V83" s="22">
        <v>3.8336143493652344</v>
      </c>
      <c r="W83" s="22"/>
      <c r="X83" s="22"/>
      <c r="Y83" s="22">
        <v>1.6908912658691406</v>
      </c>
      <c r="Z83" s="22"/>
      <c r="AA83" s="22"/>
      <c r="AB83" s="22">
        <v>4.6429071426391602</v>
      </c>
    </row>
    <row r="84" spans="1:28">
      <c r="A84" s="15" t="s">
        <v>21</v>
      </c>
      <c r="C84" s="22"/>
      <c r="D84" s="22">
        <v>-0.16971302032470703</v>
      </c>
      <c r="E84" s="22"/>
      <c r="F84" s="22"/>
      <c r="G84" s="22">
        <v>-1.121434211730957</v>
      </c>
      <c r="H84" s="22"/>
      <c r="I84" s="22"/>
      <c r="J84" s="22">
        <v>-3.3534049987792969E-2</v>
      </c>
      <c r="K84" s="22"/>
      <c r="L84" s="22"/>
      <c r="M84" s="22">
        <v>-1.216827392578125</v>
      </c>
      <c r="N84" s="22"/>
      <c r="O84" s="22"/>
      <c r="P84" s="22">
        <v>7.9852113723754883</v>
      </c>
      <c r="Q84" s="22"/>
      <c r="R84" s="22"/>
      <c r="S84" s="22">
        <v>6.1673955917358398</v>
      </c>
      <c r="T84" s="22"/>
      <c r="U84" s="22"/>
      <c r="V84" s="22">
        <v>3.8613119125366211</v>
      </c>
      <c r="W84" s="22"/>
      <c r="X84" s="22"/>
      <c r="Y84" s="22">
        <v>3.9497880935668945</v>
      </c>
      <c r="Z84" s="22"/>
      <c r="AA84" s="22"/>
      <c r="AB84" s="22">
        <v>5.6303873062133789</v>
      </c>
    </row>
    <row r="85" spans="1:28">
      <c r="A85" s="15" t="s">
        <v>21</v>
      </c>
      <c r="C85" s="22"/>
      <c r="D85" s="22">
        <v>3.0897893905639648</v>
      </c>
      <c r="E85" s="22"/>
      <c r="F85" s="22"/>
      <c r="G85" s="22">
        <v>0.89935684204101562</v>
      </c>
      <c r="H85" s="22"/>
      <c r="I85" s="22"/>
      <c r="J85" s="22">
        <v>2.0368480682373047</v>
      </c>
      <c r="K85" s="22"/>
      <c r="L85" s="22"/>
      <c r="M85" s="22">
        <v>-0.29644489288330078</v>
      </c>
      <c r="N85" s="22"/>
      <c r="O85" s="22"/>
      <c r="P85" s="22">
        <v>11.02504825592041</v>
      </c>
      <c r="Q85" s="22"/>
      <c r="R85" s="22"/>
      <c r="S85" s="22">
        <v>10.076858520507812</v>
      </c>
      <c r="T85" s="22"/>
      <c r="U85" s="22"/>
      <c r="V85" s="22">
        <v>4.5890226364135742</v>
      </c>
      <c r="W85" s="22"/>
      <c r="X85" s="22"/>
      <c r="Y85" s="22">
        <v>6.6245651245117188</v>
      </c>
      <c r="Z85" s="22"/>
      <c r="AA85" s="22"/>
      <c r="AB85" s="22">
        <v>8.3845691680908203</v>
      </c>
    </row>
    <row r="86" spans="1:28">
      <c r="A86" s="15" t="s">
        <v>21</v>
      </c>
      <c r="C86" s="22"/>
      <c r="D86" s="22">
        <v>-0.82297134399414062</v>
      </c>
      <c r="E86" s="22"/>
      <c r="F86" s="22"/>
      <c r="G86" s="22">
        <v>-1.4744768142700195</v>
      </c>
      <c r="H86" s="22"/>
      <c r="I86" s="22"/>
      <c r="J86" s="22">
        <v>-2.5242176055908203</v>
      </c>
      <c r="K86" s="22"/>
      <c r="L86" s="22"/>
      <c r="M86" s="22">
        <v>-2.3080759048461914</v>
      </c>
      <c r="N86" s="22"/>
      <c r="O86" s="22"/>
      <c r="P86" s="22">
        <v>5.3796701431274414</v>
      </c>
      <c r="Q86" s="22"/>
      <c r="R86" s="22"/>
      <c r="S86" s="22">
        <v>5.3524789810180664</v>
      </c>
      <c r="T86" s="22"/>
      <c r="U86" s="22"/>
      <c r="V86" s="22">
        <v>1.5301542282104492</v>
      </c>
      <c r="W86" s="22"/>
      <c r="X86" s="22"/>
      <c r="Y86" s="22">
        <v>2.8199977874755859</v>
      </c>
      <c r="Z86" s="22"/>
      <c r="AA86" s="22"/>
      <c r="AB86" s="22">
        <v>4.1317882537841797</v>
      </c>
    </row>
    <row r="87" spans="1:28">
      <c r="A87" s="15" t="s">
        <v>21</v>
      </c>
      <c r="C87" s="22"/>
      <c r="D87" s="22">
        <v>-0.82107448577880859</v>
      </c>
      <c r="E87" s="22"/>
      <c r="F87" s="22"/>
      <c r="G87" s="22">
        <v>-1.4838399887084961</v>
      </c>
      <c r="H87" s="22"/>
      <c r="I87" s="22"/>
      <c r="J87" s="22">
        <v>-1.1309452056884766</v>
      </c>
      <c r="K87" s="22"/>
      <c r="L87" s="22"/>
      <c r="M87" s="22">
        <v>-1.9472522735595703</v>
      </c>
      <c r="N87" s="22"/>
      <c r="O87" s="22"/>
      <c r="P87" s="22">
        <v>6.7244243621826172</v>
      </c>
      <c r="Q87" s="22"/>
      <c r="R87" s="22"/>
      <c r="S87" s="22">
        <v>5.1208953857421875</v>
      </c>
      <c r="T87" s="22"/>
      <c r="U87" s="22"/>
      <c r="V87" s="22">
        <v>2.8175477981567383</v>
      </c>
      <c r="W87" s="22"/>
      <c r="X87" s="22"/>
      <c r="Y87" s="22">
        <v>2.7351531982421875</v>
      </c>
      <c r="Z87" s="22"/>
      <c r="AA87" s="22"/>
      <c r="AB87" s="22">
        <v>5.2972259521484375</v>
      </c>
    </row>
    <row r="88" spans="1:28">
      <c r="A88" s="15" t="s">
        <v>21</v>
      </c>
      <c r="C88" s="22"/>
      <c r="D88" s="22">
        <v>2.0798864364624023</v>
      </c>
      <c r="E88" s="22"/>
      <c r="F88" s="22"/>
      <c r="G88" s="22">
        <v>0.31891822814941406</v>
      </c>
      <c r="H88" s="22"/>
      <c r="I88" s="22"/>
      <c r="J88" s="22">
        <v>-0.28873252868652344</v>
      </c>
      <c r="K88" s="22"/>
      <c r="L88" s="22"/>
      <c r="M88" s="22">
        <v>-0.83958148956298828</v>
      </c>
      <c r="N88" s="22"/>
      <c r="O88" s="22"/>
      <c r="P88" s="22">
        <v>7.8151798248291016</v>
      </c>
      <c r="Q88" s="22"/>
      <c r="R88" s="22"/>
      <c r="S88" s="22">
        <v>7.9714937210083008</v>
      </c>
      <c r="T88" s="22"/>
      <c r="U88" s="22"/>
      <c r="V88" s="22">
        <v>4.5788745880126953</v>
      </c>
      <c r="W88" s="22"/>
      <c r="X88" s="22"/>
      <c r="Y88" s="22">
        <v>5.6597661972045898</v>
      </c>
      <c r="Z88" s="22"/>
      <c r="AA88" s="22"/>
      <c r="AB88" s="22">
        <v>6.5619525909423828</v>
      </c>
    </row>
    <row r="89" spans="1:28">
      <c r="A89" s="15" t="s">
        <v>21</v>
      </c>
      <c r="C89" s="22"/>
      <c r="D89" s="22">
        <v>-0.52287006378173828</v>
      </c>
      <c r="E89" s="22"/>
      <c r="F89" s="22"/>
      <c r="G89" s="22">
        <v>-1.1921167373657227</v>
      </c>
      <c r="H89" s="22"/>
      <c r="I89" s="22"/>
      <c r="J89" s="22">
        <v>1.3227500915527344</v>
      </c>
      <c r="K89" s="22"/>
      <c r="L89" s="22"/>
      <c r="M89" s="22">
        <v>-0.30352020263671875</v>
      </c>
      <c r="N89" s="22"/>
      <c r="O89" s="22"/>
      <c r="P89" s="22">
        <v>8.6119279861450195</v>
      </c>
      <c r="Q89" s="22"/>
      <c r="R89" s="22"/>
      <c r="S89" s="22">
        <v>5.5935821533203125</v>
      </c>
      <c r="T89" s="22"/>
      <c r="U89" s="22"/>
      <c r="V89" s="22">
        <v>6.1545658111572266</v>
      </c>
      <c r="W89" s="22"/>
      <c r="X89" s="22"/>
      <c r="Y89" s="22">
        <v>3.1081371307373047</v>
      </c>
      <c r="Z89" s="22"/>
      <c r="AA89" s="22"/>
      <c r="AB89" s="22">
        <v>6.6911144256591797</v>
      </c>
    </row>
    <row r="90" spans="1:28">
      <c r="A90" s="15" t="s">
        <v>21</v>
      </c>
      <c r="C90" s="22"/>
      <c r="D90" s="22">
        <v>1.1091270446777344</v>
      </c>
      <c r="E90" s="22"/>
      <c r="F90" s="22"/>
      <c r="G90" s="22">
        <v>-0.56366157531738281</v>
      </c>
      <c r="H90" s="22"/>
      <c r="I90" s="22"/>
      <c r="J90" s="22">
        <v>0.52873611450195312</v>
      </c>
      <c r="K90" s="22"/>
      <c r="L90" s="22"/>
      <c r="M90" s="22">
        <v>-0.99838352203369141</v>
      </c>
      <c r="N90" s="22"/>
      <c r="O90" s="22"/>
      <c r="P90" s="22">
        <v>10.023443222045898</v>
      </c>
      <c r="Q90" s="22"/>
      <c r="R90" s="22"/>
      <c r="S90" s="22">
        <v>7.1212797164916992</v>
      </c>
      <c r="T90" s="22"/>
      <c r="U90" s="22"/>
      <c r="V90" s="22">
        <v>5.2896823883056641</v>
      </c>
      <c r="W90" s="22"/>
      <c r="X90" s="22"/>
      <c r="Y90" s="22">
        <v>4.1890621185302734</v>
      </c>
      <c r="Z90" s="22"/>
      <c r="AA90" s="22"/>
      <c r="AB90" s="22">
        <v>7.0304651260375977</v>
      </c>
    </row>
    <row r="91" spans="1:28">
      <c r="A91" s="15" t="s">
        <v>21</v>
      </c>
      <c r="C91" s="22"/>
      <c r="D91" s="22">
        <v>-0.44239616394042969</v>
      </c>
      <c r="E91" s="22"/>
      <c r="F91" s="22"/>
      <c r="G91" s="22">
        <v>-1.3208074569702148</v>
      </c>
      <c r="H91" s="22"/>
      <c r="I91" s="22"/>
      <c r="J91" s="22">
        <v>1.3536720275878906</v>
      </c>
      <c r="K91" s="22"/>
      <c r="L91" s="22"/>
      <c r="M91" s="22">
        <v>-0.44543743133544922</v>
      </c>
      <c r="N91" s="22"/>
      <c r="O91" s="22"/>
      <c r="P91" s="22">
        <v>9.9224796295166016</v>
      </c>
      <c r="Q91" s="22"/>
      <c r="R91" s="22"/>
      <c r="S91" s="22">
        <v>5.2524042129516602</v>
      </c>
      <c r="T91" s="22"/>
      <c r="U91" s="22"/>
      <c r="V91" s="22">
        <v>6.6738595962524414</v>
      </c>
      <c r="W91" s="22"/>
      <c r="X91" s="22"/>
      <c r="Y91" s="22">
        <v>2.8856897354125977</v>
      </c>
      <c r="Z91" s="22"/>
      <c r="AA91" s="22"/>
      <c r="AB91" s="22">
        <v>7.3758201599121094</v>
      </c>
    </row>
    <row r="92" spans="1:28">
      <c r="A92" s="15" t="s">
        <v>21</v>
      </c>
      <c r="C92" s="22"/>
      <c r="D92" s="22">
        <v>-7.1310043334960938E-2</v>
      </c>
      <c r="E92" s="22"/>
      <c r="F92" s="22"/>
      <c r="G92" s="22">
        <v>-1.2668991088867188</v>
      </c>
      <c r="H92" s="22"/>
      <c r="I92" s="22"/>
      <c r="J92" s="22">
        <v>-0.82990360260009766</v>
      </c>
      <c r="K92" s="22"/>
      <c r="L92" s="22"/>
      <c r="M92" s="22">
        <v>-0.71257591247558594</v>
      </c>
      <c r="N92" s="22"/>
      <c r="O92" s="22"/>
      <c r="P92" s="22">
        <v>8.8087434768676758</v>
      </c>
      <c r="Q92" s="22"/>
      <c r="R92" s="22"/>
      <c r="S92" s="22">
        <v>5.9832487106323242</v>
      </c>
      <c r="T92" s="22"/>
      <c r="U92" s="22"/>
      <c r="V92" s="22">
        <v>4.8365869522094727</v>
      </c>
      <c r="W92" s="22"/>
      <c r="X92" s="22"/>
      <c r="Y92" s="22">
        <v>3.4276552200317383</v>
      </c>
      <c r="Z92" s="22"/>
      <c r="AA92" s="22"/>
      <c r="AB92" s="22">
        <v>7.3648624420166016</v>
      </c>
    </row>
    <row r="93" spans="1:28">
      <c r="A93" s="15" t="s">
        <v>21</v>
      </c>
      <c r="C93" s="22"/>
      <c r="D93" s="22">
        <v>0.89660453796386719</v>
      </c>
      <c r="E93" s="22"/>
      <c r="F93" s="22"/>
      <c r="G93" s="22">
        <v>-0.19079017639160156</v>
      </c>
      <c r="H93" s="22"/>
      <c r="I93" s="22"/>
      <c r="J93" s="22">
        <v>0.2285919189453125</v>
      </c>
      <c r="K93" s="22"/>
      <c r="L93" s="22"/>
      <c r="M93" s="22">
        <v>-0.30816650390625</v>
      </c>
      <c r="N93" s="22"/>
      <c r="O93" s="22"/>
      <c r="P93" s="22">
        <v>10.529193878173828</v>
      </c>
      <c r="Q93" s="22"/>
      <c r="R93" s="22"/>
      <c r="S93" s="22">
        <v>7.5562992095947266</v>
      </c>
      <c r="T93" s="22"/>
      <c r="U93" s="22"/>
      <c r="V93" s="22">
        <v>5.809361457824707</v>
      </c>
      <c r="W93" s="22"/>
      <c r="X93" s="22"/>
      <c r="Y93" s="22">
        <v>4.6443214416503906</v>
      </c>
      <c r="Z93" s="22"/>
      <c r="AA93" s="22"/>
      <c r="AB93" s="22">
        <v>7.2432060241699219</v>
      </c>
    </row>
    <row r="94" spans="1:28">
      <c r="A94" s="15" t="s">
        <v>21</v>
      </c>
      <c r="C94" s="22"/>
      <c r="D94" s="22">
        <v>-3.5905179977416992</v>
      </c>
      <c r="E94" s="22"/>
      <c r="F94" s="22"/>
      <c r="G94" s="22">
        <v>-7.1871891021728516</v>
      </c>
      <c r="H94" s="22"/>
      <c r="I94" s="22"/>
      <c r="J94" s="22">
        <v>0.55819416046142578</v>
      </c>
      <c r="K94" s="22"/>
      <c r="L94" s="22"/>
      <c r="M94" s="22">
        <v>-3.4438743591308594</v>
      </c>
      <c r="N94" s="22"/>
      <c r="O94" s="22"/>
      <c r="P94" s="22">
        <v>4.4571151733398438</v>
      </c>
      <c r="Q94" s="22"/>
      <c r="R94" s="22"/>
      <c r="S94" s="22">
        <v>0.56700038909912109</v>
      </c>
      <c r="T94" s="22"/>
      <c r="U94" s="22"/>
      <c r="V94" s="22">
        <v>3.2140874862670898</v>
      </c>
      <c r="W94" s="22"/>
      <c r="X94" s="22"/>
      <c r="Y94" s="22">
        <v>-0.66978836059570312</v>
      </c>
      <c r="Z94" s="22"/>
      <c r="AA94" s="22"/>
      <c r="AB94" s="22">
        <v>2.1501760482788086</v>
      </c>
    </row>
    <row r="122" spans="2:2">
      <c r="B12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샘플정보+치매지수_outlier 표시</vt:lpstr>
      <vt:lpstr>PCR 결과</vt:lpstr>
      <vt:lpstr>Sheet7</vt:lpstr>
      <vt:lpstr>인덱스 통계</vt:lpstr>
      <vt:lpstr>ANOVA</vt:lpstr>
      <vt:lpstr>그룹별 Ct_Dev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2025-11-14T15:56:49Z</dcterms:created>
  <dcterms:modified xsi:type="dcterms:W3CDTF">2025-11-19T13:17:15Z</dcterms:modified>
</cp:coreProperties>
</file>