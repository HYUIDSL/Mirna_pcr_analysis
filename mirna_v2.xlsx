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경상대 김명옥교수/"/>
    </mc:Choice>
  </mc:AlternateContent>
  <xr:revisionPtr revIDLastSave="0" documentId="8_{7FD095FB-99B6-144A-815B-80E60F18D3C3}" xr6:coauthVersionLast="47" xr6:coauthVersionMax="47" xr10:uidLastSave="{00000000-0000-0000-0000-000000000000}"/>
  <bookViews>
    <workbookView xWindow="35760" yWindow="-10760" windowWidth="28800" windowHeight="16460" xr2:uid="{C1B85E12-F3D5-D444-8EDB-D4DF925B9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6" i="1" l="1"/>
  <c r="AV56" i="1"/>
  <c r="AU56" i="1"/>
  <c r="AT56" i="1"/>
  <c r="AS56" i="1"/>
  <c r="AR56" i="1"/>
  <c r="AQ56" i="1"/>
  <c r="AP56" i="1"/>
  <c r="AO56" i="1"/>
  <c r="AW55" i="1"/>
  <c r="AV55" i="1"/>
  <c r="AU55" i="1"/>
  <c r="AT55" i="1"/>
  <c r="AS55" i="1"/>
  <c r="AR55" i="1"/>
  <c r="AQ55" i="1"/>
  <c r="AP55" i="1"/>
  <c r="AO55" i="1"/>
  <c r="AW54" i="1"/>
  <c r="AV54" i="1"/>
  <c r="AU54" i="1"/>
  <c r="AT54" i="1"/>
  <c r="AS54" i="1"/>
  <c r="AR54" i="1"/>
  <c r="AQ54" i="1"/>
  <c r="AP54" i="1"/>
  <c r="AO54" i="1"/>
  <c r="AW53" i="1"/>
  <c r="AV53" i="1"/>
  <c r="AU53" i="1"/>
  <c r="AT53" i="1"/>
  <c r="AS53" i="1"/>
  <c r="AR53" i="1"/>
  <c r="AQ53" i="1"/>
  <c r="AP53" i="1"/>
  <c r="AO53" i="1"/>
  <c r="AW52" i="1"/>
  <c r="AV52" i="1"/>
  <c r="AU52" i="1"/>
  <c r="AT52" i="1"/>
  <c r="AS52" i="1"/>
  <c r="AR52" i="1"/>
  <c r="AQ52" i="1"/>
  <c r="AP52" i="1"/>
  <c r="AO52" i="1"/>
  <c r="AW51" i="1"/>
  <c r="AV51" i="1"/>
  <c r="AU51" i="1"/>
  <c r="AT51" i="1"/>
  <c r="AS51" i="1"/>
  <c r="AR51" i="1"/>
  <c r="AQ51" i="1"/>
  <c r="AP51" i="1"/>
  <c r="AO51" i="1"/>
  <c r="AW50" i="1"/>
  <c r="AV50" i="1"/>
  <c r="AU50" i="1"/>
  <c r="AT50" i="1"/>
  <c r="AS50" i="1"/>
  <c r="AR50" i="1"/>
  <c r="AQ50" i="1"/>
  <c r="AP50" i="1"/>
  <c r="AO50" i="1"/>
  <c r="AW49" i="1"/>
  <c r="AV49" i="1"/>
  <c r="AU49" i="1"/>
  <c r="AT49" i="1"/>
  <c r="AS49" i="1"/>
  <c r="AR49" i="1"/>
  <c r="AQ49" i="1"/>
  <c r="AP49" i="1"/>
  <c r="AO49" i="1"/>
  <c r="AW48" i="1"/>
  <c r="AV48" i="1"/>
  <c r="AU48" i="1"/>
  <c r="AT48" i="1"/>
  <c r="AS48" i="1"/>
  <c r="AR48" i="1"/>
  <c r="AQ48" i="1"/>
  <c r="AP48" i="1"/>
  <c r="AO48" i="1"/>
  <c r="AW47" i="1"/>
  <c r="AV47" i="1"/>
  <c r="AU47" i="1"/>
  <c r="AT47" i="1"/>
  <c r="AS47" i="1"/>
  <c r="AR47" i="1"/>
  <c r="AQ47" i="1"/>
  <c r="AP47" i="1"/>
  <c r="AO47" i="1"/>
  <c r="AW46" i="1"/>
  <c r="AV46" i="1"/>
  <c r="AU46" i="1"/>
  <c r="AT46" i="1"/>
  <c r="AS46" i="1"/>
  <c r="AR46" i="1"/>
  <c r="AQ46" i="1"/>
  <c r="AP46" i="1"/>
  <c r="AO46" i="1"/>
  <c r="AW45" i="1"/>
  <c r="AV45" i="1"/>
  <c r="AU45" i="1"/>
  <c r="AT45" i="1"/>
  <c r="AS45" i="1"/>
  <c r="AR45" i="1"/>
  <c r="AQ45" i="1"/>
  <c r="AP45" i="1"/>
  <c r="AO45" i="1"/>
  <c r="AW44" i="1"/>
  <c r="AV44" i="1"/>
  <c r="AU44" i="1"/>
  <c r="AT44" i="1"/>
  <c r="AS44" i="1"/>
  <c r="AR44" i="1"/>
  <c r="AQ44" i="1"/>
  <c r="AP44" i="1"/>
  <c r="AO44" i="1"/>
  <c r="AW43" i="1"/>
  <c r="AV43" i="1"/>
  <c r="AU43" i="1"/>
  <c r="AT43" i="1"/>
  <c r="AS43" i="1"/>
  <c r="AR43" i="1"/>
  <c r="AQ43" i="1"/>
  <c r="AP43" i="1"/>
  <c r="AO43" i="1"/>
  <c r="AW42" i="1"/>
  <c r="AV42" i="1"/>
  <c r="AU42" i="1"/>
  <c r="AT42" i="1"/>
  <c r="AS42" i="1"/>
  <c r="AR42" i="1"/>
  <c r="AQ42" i="1"/>
  <c r="AP42" i="1"/>
  <c r="AO42" i="1"/>
  <c r="BQ56" i="1"/>
  <c r="BP56" i="1"/>
  <c r="BO56" i="1"/>
  <c r="BN56" i="1"/>
  <c r="BM56" i="1"/>
  <c r="BL56" i="1"/>
  <c r="BK56" i="1"/>
  <c r="BJ56" i="1"/>
  <c r="BI56" i="1"/>
  <c r="BQ55" i="1"/>
  <c r="BP55" i="1"/>
  <c r="BO55" i="1"/>
  <c r="BN55" i="1"/>
  <c r="BM55" i="1"/>
  <c r="BL55" i="1"/>
  <c r="BK55" i="1"/>
  <c r="BJ55" i="1"/>
  <c r="BI55" i="1"/>
  <c r="BQ54" i="1"/>
  <c r="BP54" i="1"/>
  <c r="BO54" i="1"/>
  <c r="BN54" i="1"/>
  <c r="BM54" i="1"/>
  <c r="BL54" i="1"/>
  <c r="BK54" i="1"/>
  <c r="BJ54" i="1"/>
  <c r="BI54" i="1"/>
  <c r="BQ53" i="1"/>
  <c r="BP53" i="1"/>
  <c r="BO53" i="1"/>
  <c r="BN53" i="1"/>
  <c r="BM53" i="1"/>
  <c r="BL53" i="1"/>
  <c r="BK53" i="1"/>
  <c r="BJ53" i="1"/>
  <c r="BI53" i="1"/>
  <c r="BQ52" i="1"/>
  <c r="BP52" i="1"/>
  <c r="BO52" i="1"/>
  <c r="BN52" i="1"/>
  <c r="BM52" i="1"/>
  <c r="BL52" i="1"/>
  <c r="BK52" i="1"/>
  <c r="BJ52" i="1"/>
  <c r="BI52" i="1"/>
  <c r="BQ51" i="1"/>
  <c r="BP51" i="1"/>
  <c r="BO51" i="1"/>
  <c r="BN51" i="1"/>
  <c r="BM51" i="1"/>
  <c r="BL51" i="1"/>
  <c r="BK51" i="1"/>
  <c r="BJ51" i="1"/>
  <c r="BI51" i="1"/>
  <c r="BQ50" i="1"/>
  <c r="BP50" i="1"/>
  <c r="BO50" i="1"/>
  <c r="BN50" i="1"/>
  <c r="BM50" i="1"/>
  <c r="BL50" i="1"/>
  <c r="BK50" i="1"/>
  <c r="BJ50" i="1"/>
  <c r="BI50" i="1"/>
  <c r="BQ49" i="1"/>
  <c r="BP49" i="1"/>
  <c r="BO49" i="1"/>
  <c r="BN49" i="1"/>
  <c r="BM49" i="1"/>
  <c r="BL49" i="1"/>
  <c r="BK49" i="1"/>
  <c r="BJ49" i="1"/>
  <c r="BI49" i="1"/>
  <c r="BQ48" i="1"/>
  <c r="BP48" i="1"/>
  <c r="BO48" i="1"/>
  <c r="BN48" i="1"/>
  <c r="BM48" i="1"/>
  <c r="BL48" i="1"/>
  <c r="BK48" i="1"/>
  <c r="BJ48" i="1"/>
  <c r="BI48" i="1"/>
  <c r="BQ47" i="1"/>
  <c r="BP47" i="1"/>
  <c r="BO47" i="1"/>
  <c r="BN47" i="1"/>
  <c r="BM47" i="1"/>
  <c r="BL47" i="1"/>
  <c r="BK47" i="1"/>
  <c r="BJ47" i="1"/>
  <c r="BI47" i="1"/>
  <c r="BQ46" i="1"/>
  <c r="BP46" i="1"/>
  <c r="BO46" i="1"/>
  <c r="BN46" i="1"/>
  <c r="BM46" i="1"/>
  <c r="BL46" i="1"/>
  <c r="BK46" i="1"/>
  <c r="BJ46" i="1"/>
  <c r="BI46" i="1"/>
  <c r="BQ45" i="1"/>
  <c r="BP45" i="1"/>
  <c r="BO45" i="1"/>
  <c r="BN45" i="1"/>
  <c r="BM45" i="1"/>
  <c r="BL45" i="1"/>
  <c r="BK45" i="1"/>
  <c r="BJ45" i="1"/>
  <c r="BI45" i="1"/>
  <c r="BQ44" i="1"/>
  <c r="BP44" i="1"/>
  <c r="BO44" i="1"/>
  <c r="BN44" i="1"/>
  <c r="BM44" i="1"/>
  <c r="BL44" i="1"/>
  <c r="BK44" i="1"/>
  <c r="BJ44" i="1"/>
  <c r="BI44" i="1"/>
  <c r="BQ43" i="1"/>
  <c r="BP43" i="1"/>
  <c r="BO43" i="1"/>
  <c r="BN43" i="1"/>
  <c r="BM43" i="1"/>
  <c r="BL43" i="1"/>
  <c r="BK43" i="1"/>
  <c r="BJ43" i="1"/>
  <c r="BI43" i="1"/>
  <c r="BQ42" i="1"/>
  <c r="BP42" i="1"/>
  <c r="BO42" i="1"/>
  <c r="BN42" i="1"/>
  <c r="BM42" i="1"/>
  <c r="BL42" i="1"/>
  <c r="BK42" i="1"/>
  <c r="BJ42" i="1"/>
  <c r="BI42" i="1"/>
  <c r="AW41" i="1" l="1"/>
  <c r="AV41" i="1"/>
  <c r="AU41" i="1"/>
  <c r="AT41" i="1"/>
  <c r="AS41" i="1"/>
  <c r="AR41" i="1"/>
  <c r="AQ41" i="1"/>
  <c r="AP41" i="1"/>
  <c r="AO41" i="1"/>
  <c r="AW40" i="1"/>
  <c r="AV40" i="1"/>
  <c r="AU40" i="1"/>
  <c r="AT40" i="1"/>
  <c r="AS40" i="1"/>
  <c r="AR40" i="1"/>
  <c r="AQ40" i="1"/>
  <c r="AP40" i="1"/>
  <c r="AO40" i="1"/>
  <c r="AW39" i="1"/>
  <c r="AV39" i="1"/>
  <c r="AU39" i="1"/>
  <c r="AT39" i="1"/>
  <c r="AS39" i="1"/>
  <c r="AR39" i="1"/>
  <c r="AQ39" i="1"/>
  <c r="AP39" i="1"/>
  <c r="AO39" i="1"/>
  <c r="AW38" i="1"/>
  <c r="AV38" i="1"/>
  <c r="AU38" i="1"/>
  <c r="AT38" i="1"/>
  <c r="AS38" i="1"/>
  <c r="AR38" i="1"/>
  <c r="AQ38" i="1"/>
  <c r="AP38" i="1"/>
  <c r="AO38" i="1"/>
  <c r="AW37" i="1"/>
  <c r="AV37" i="1"/>
  <c r="AU37" i="1"/>
  <c r="AT37" i="1"/>
  <c r="AS37" i="1"/>
  <c r="AR37" i="1"/>
  <c r="AQ37" i="1"/>
  <c r="AP37" i="1"/>
  <c r="AO37" i="1"/>
  <c r="AW36" i="1"/>
  <c r="AV36" i="1"/>
  <c r="AU36" i="1"/>
  <c r="AT36" i="1"/>
  <c r="AS36" i="1"/>
  <c r="AR36" i="1"/>
  <c r="AQ36" i="1"/>
  <c r="AP36" i="1"/>
  <c r="AO36" i="1"/>
  <c r="AW35" i="1"/>
  <c r="AV35" i="1"/>
  <c r="AU35" i="1"/>
  <c r="AT35" i="1"/>
  <c r="AS35" i="1"/>
  <c r="AR35" i="1"/>
  <c r="AQ35" i="1"/>
  <c r="AP35" i="1"/>
  <c r="AO35" i="1"/>
  <c r="AW34" i="1"/>
  <c r="AV34" i="1"/>
  <c r="AU34" i="1"/>
  <c r="AT34" i="1"/>
  <c r="AS34" i="1"/>
  <c r="AR34" i="1"/>
  <c r="AQ34" i="1"/>
  <c r="AP34" i="1"/>
  <c r="AO34" i="1"/>
  <c r="AW33" i="1"/>
  <c r="AV33" i="1"/>
  <c r="AU33" i="1"/>
  <c r="AT33" i="1"/>
  <c r="AS33" i="1"/>
  <c r="AR33" i="1"/>
  <c r="AQ33" i="1"/>
  <c r="AP33" i="1"/>
  <c r="AO33" i="1"/>
  <c r="AW32" i="1"/>
  <c r="AV32" i="1"/>
  <c r="AU32" i="1"/>
  <c r="AT32" i="1"/>
  <c r="AS32" i="1"/>
  <c r="AR32" i="1"/>
  <c r="AQ32" i="1"/>
  <c r="AP32" i="1"/>
  <c r="AO32" i="1"/>
  <c r="AW31" i="1"/>
  <c r="AV31" i="1"/>
  <c r="AU31" i="1"/>
  <c r="AT31" i="1"/>
  <c r="AS31" i="1"/>
  <c r="AR31" i="1"/>
  <c r="AQ31" i="1"/>
  <c r="AP31" i="1"/>
  <c r="AO31" i="1"/>
  <c r="AW30" i="1"/>
  <c r="AV30" i="1"/>
  <c r="AU30" i="1"/>
  <c r="AT30" i="1"/>
  <c r="AS30" i="1"/>
  <c r="AR30" i="1"/>
  <c r="AQ30" i="1"/>
  <c r="AP30" i="1"/>
  <c r="AO30" i="1"/>
  <c r="AW29" i="1"/>
  <c r="AV29" i="1"/>
  <c r="AU29" i="1"/>
  <c r="AT29" i="1"/>
  <c r="AS29" i="1"/>
  <c r="AR29" i="1"/>
  <c r="AQ29" i="1"/>
  <c r="AP29" i="1"/>
  <c r="AO29" i="1"/>
  <c r="AW28" i="1"/>
  <c r="AV28" i="1"/>
  <c r="AU28" i="1"/>
  <c r="AT28" i="1"/>
  <c r="AS28" i="1"/>
  <c r="AR28" i="1"/>
  <c r="AQ28" i="1"/>
  <c r="AP28" i="1"/>
  <c r="AO28" i="1"/>
  <c r="AW27" i="1"/>
  <c r="AV27" i="1"/>
  <c r="AU27" i="1"/>
  <c r="AT27" i="1"/>
  <c r="AS27" i="1"/>
  <c r="AR27" i="1"/>
  <c r="AQ27" i="1"/>
  <c r="AP27" i="1"/>
  <c r="AO27" i="1"/>
  <c r="AW26" i="1"/>
  <c r="AV26" i="1"/>
  <c r="AU26" i="1"/>
  <c r="AT26" i="1"/>
  <c r="AS26" i="1"/>
  <c r="AR26" i="1"/>
  <c r="AQ26" i="1"/>
  <c r="AP26" i="1"/>
  <c r="AO26" i="1"/>
  <c r="AW25" i="1"/>
  <c r="AV25" i="1"/>
  <c r="AU25" i="1"/>
  <c r="AT25" i="1"/>
  <c r="AS25" i="1"/>
  <c r="AR25" i="1"/>
  <c r="AQ25" i="1"/>
  <c r="AP25" i="1"/>
  <c r="AO25" i="1"/>
  <c r="AW24" i="1"/>
  <c r="AV24" i="1"/>
  <c r="AU24" i="1"/>
  <c r="AT24" i="1"/>
  <c r="AS24" i="1"/>
  <c r="AR24" i="1"/>
  <c r="AQ24" i="1"/>
  <c r="AP24" i="1"/>
  <c r="AO24" i="1"/>
  <c r="AW23" i="1"/>
  <c r="AV23" i="1"/>
  <c r="AU23" i="1"/>
  <c r="AT23" i="1"/>
  <c r="AS23" i="1"/>
  <c r="AR23" i="1"/>
  <c r="AQ23" i="1"/>
  <c r="AP23" i="1"/>
  <c r="AO23" i="1"/>
  <c r="AW22" i="1"/>
  <c r="AV22" i="1"/>
  <c r="AU22" i="1"/>
  <c r="AT22" i="1"/>
  <c r="AS22" i="1"/>
  <c r="AR22" i="1"/>
  <c r="AQ22" i="1"/>
  <c r="AP22" i="1"/>
  <c r="AO22" i="1"/>
  <c r="AW21" i="1"/>
  <c r="AV21" i="1"/>
  <c r="AU21" i="1"/>
  <c r="AT21" i="1"/>
  <c r="AS21" i="1"/>
  <c r="AR21" i="1"/>
  <c r="AQ21" i="1"/>
  <c r="AP21" i="1"/>
  <c r="AO21" i="1"/>
  <c r="AW20" i="1"/>
  <c r="AV20" i="1"/>
  <c r="AU20" i="1"/>
  <c r="AT20" i="1"/>
  <c r="AS20" i="1"/>
  <c r="AR20" i="1"/>
  <c r="AQ20" i="1"/>
  <c r="AP20" i="1"/>
  <c r="AO20" i="1"/>
  <c r="AW19" i="1"/>
  <c r="AV19" i="1"/>
  <c r="AU19" i="1"/>
  <c r="AT19" i="1"/>
  <c r="AS19" i="1"/>
  <c r="AR19" i="1"/>
  <c r="AQ19" i="1"/>
  <c r="AP19" i="1"/>
  <c r="AO19" i="1"/>
  <c r="AW18" i="1"/>
  <c r="AV18" i="1"/>
  <c r="AU18" i="1"/>
  <c r="AT18" i="1"/>
  <c r="AS18" i="1"/>
  <c r="AR18" i="1"/>
  <c r="AQ18" i="1"/>
  <c r="AP18" i="1"/>
  <c r="AO18" i="1"/>
  <c r="AW17" i="1"/>
  <c r="AV17" i="1"/>
  <c r="AU17" i="1"/>
  <c r="AT17" i="1"/>
  <c r="AS17" i="1"/>
  <c r="AR17" i="1"/>
  <c r="AQ17" i="1"/>
  <c r="AP17" i="1"/>
  <c r="AO17" i="1"/>
  <c r="AW16" i="1"/>
  <c r="AV16" i="1"/>
  <c r="AU16" i="1"/>
  <c r="AT16" i="1"/>
  <c r="AS16" i="1"/>
  <c r="AR16" i="1"/>
  <c r="AQ16" i="1"/>
  <c r="AP16" i="1"/>
  <c r="AO16" i="1"/>
  <c r="AW15" i="1"/>
  <c r="AV15" i="1"/>
  <c r="AU15" i="1"/>
  <c r="AT15" i="1"/>
  <c r="AS15" i="1"/>
  <c r="AR15" i="1"/>
  <c r="AQ15" i="1"/>
  <c r="AP15" i="1"/>
  <c r="AO15" i="1"/>
  <c r="AW14" i="1"/>
  <c r="AV14" i="1"/>
  <c r="AU14" i="1"/>
  <c r="AT14" i="1"/>
  <c r="AS14" i="1"/>
  <c r="AR14" i="1"/>
  <c r="AQ14" i="1"/>
  <c r="AP14" i="1"/>
  <c r="AO14" i="1"/>
  <c r="AW13" i="1"/>
  <c r="AV13" i="1"/>
  <c r="AU13" i="1"/>
  <c r="AT13" i="1"/>
  <c r="AS13" i="1"/>
  <c r="AR13" i="1"/>
  <c r="AQ13" i="1"/>
  <c r="AP13" i="1"/>
  <c r="AO13" i="1"/>
  <c r="AW12" i="1"/>
  <c r="AV12" i="1"/>
  <c r="AU12" i="1"/>
  <c r="AT12" i="1"/>
  <c r="AS12" i="1"/>
  <c r="AR12" i="1"/>
  <c r="AQ12" i="1"/>
  <c r="AP12" i="1"/>
  <c r="AO12" i="1"/>
  <c r="AW11" i="1"/>
  <c r="AV11" i="1"/>
  <c r="AU11" i="1"/>
  <c r="AT11" i="1"/>
  <c r="AS11" i="1"/>
  <c r="AR11" i="1"/>
  <c r="AQ11" i="1"/>
  <c r="AP11" i="1"/>
  <c r="AO11" i="1"/>
  <c r="AW10" i="1"/>
  <c r="AV10" i="1"/>
  <c r="AU10" i="1"/>
  <c r="AT10" i="1"/>
  <c r="AS10" i="1"/>
  <c r="AR10" i="1"/>
  <c r="AQ10" i="1"/>
  <c r="AP10" i="1"/>
  <c r="AO10" i="1"/>
  <c r="AW9" i="1"/>
  <c r="AV9" i="1"/>
  <c r="AU9" i="1"/>
  <c r="AT9" i="1"/>
  <c r="AS9" i="1"/>
  <c r="AR9" i="1"/>
  <c r="AQ9" i="1"/>
  <c r="AP9" i="1"/>
  <c r="AO9" i="1"/>
  <c r="AW8" i="1"/>
  <c r="AV8" i="1"/>
  <c r="AU8" i="1"/>
  <c r="AT8" i="1"/>
  <c r="AS8" i="1"/>
  <c r="AR8" i="1"/>
  <c r="AQ8" i="1"/>
  <c r="AP8" i="1"/>
  <c r="AO8" i="1"/>
  <c r="AW7" i="1"/>
  <c r="AV7" i="1"/>
  <c r="AU7" i="1"/>
  <c r="AT7" i="1"/>
  <c r="AS7" i="1"/>
  <c r="AR7" i="1"/>
  <c r="AQ7" i="1"/>
  <c r="AP7" i="1"/>
  <c r="AO7" i="1"/>
  <c r="AW6" i="1"/>
  <c r="AV6" i="1"/>
  <c r="AU6" i="1"/>
  <c r="AT6" i="1"/>
  <c r="AS6" i="1"/>
  <c r="AR6" i="1"/>
  <c r="AQ6" i="1"/>
  <c r="AP6" i="1"/>
  <c r="AO6" i="1"/>
  <c r="AW5" i="1"/>
  <c r="AV5" i="1"/>
  <c r="AU5" i="1"/>
  <c r="AT5" i="1"/>
  <c r="AS5" i="1"/>
  <c r="AR5" i="1"/>
  <c r="AQ5" i="1"/>
  <c r="AP5" i="1"/>
  <c r="AO5" i="1"/>
  <c r="AW4" i="1"/>
  <c r="AV4" i="1"/>
  <c r="AU4" i="1"/>
  <c r="AT4" i="1"/>
  <c r="AS4" i="1"/>
  <c r="AR4" i="1"/>
  <c r="AQ4" i="1"/>
  <c r="AP4" i="1"/>
  <c r="AO4" i="1"/>
  <c r="AW3" i="1"/>
  <c r="AV3" i="1"/>
  <c r="AU3" i="1"/>
  <c r="AT3" i="1"/>
  <c r="AS3" i="1"/>
  <c r="AR3" i="1"/>
  <c r="AQ3" i="1"/>
  <c r="AP3" i="1"/>
  <c r="AO3" i="1"/>
  <c r="AW2" i="1"/>
  <c r="AV2" i="1"/>
  <c r="AU2" i="1"/>
  <c r="AT2" i="1"/>
  <c r="AS2" i="1"/>
  <c r="AR2" i="1"/>
  <c r="AQ2" i="1"/>
  <c r="AP2" i="1"/>
  <c r="AO2" i="1"/>
</calcChain>
</file>

<file path=xl/sharedStrings.xml><?xml version="1.0" encoding="utf-8"?>
<sst xmlns="http://schemas.openxmlformats.org/spreadsheetml/2006/main" count="471" uniqueCount="247">
  <si>
    <t>수령날짜</t>
    <phoneticPr fontId="2" type="noConversion"/>
  </si>
  <si>
    <t>누리바이오번호</t>
    <phoneticPr fontId="2" type="noConversion"/>
  </si>
  <si>
    <t>No.</t>
    <phoneticPr fontId="2" type="noConversion"/>
  </si>
  <si>
    <t>경상대 넘버링</t>
    <phoneticPr fontId="2" type="noConversion"/>
  </si>
  <si>
    <t>경상대 코드</t>
    <phoneticPr fontId="2" type="noConversion"/>
  </si>
  <si>
    <t>이름</t>
    <phoneticPr fontId="2" type="noConversion"/>
  </si>
  <si>
    <t>등록번호</t>
    <phoneticPr fontId="2" type="noConversion"/>
  </si>
  <si>
    <t>AIB 번호</t>
    <phoneticPr fontId="2" type="noConversion"/>
  </si>
  <si>
    <t>질환</t>
    <phoneticPr fontId="2" type="noConversion"/>
  </si>
  <si>
    <t>나이</t>
    <phoneticPr fontId="2" type="noConversion"/>
  </si>
  <si>
    <t>성별</t>
    <phoneticPr fontId="2" type="noConversion"/>
  </si>
  <si>
    <t>MMSE (30점 만점)</t>
    <phoneticPr fontId="2" type="noConversion"/>
  </si>
  <si>
    <t>GDS</t>
    <phoneticPr fontId="2" type="noConversion"/>
  </si>
  <si>
    <t>학력 (16)</t>
    <phoneticPr fontId="2" type="noConversion"/>
  </si>
  <si>
    <t>농도 (ng/ul)</t>
  </si>
  <si>
    <t>A260/280</t>
  </si>
  <si>
    <t>A260/230</t>
  </si>
  <si>
    <t xml:space="preserve">Vol. (㎕) </t>
    <phoneticPr fontId="2" type="noConversion"/>
  </si>
  <si>
    <t>Amount (ng)</t>
    <phoneticPr fontId="2" type="noConversion"/>
  </si>
  <si>
    <t>SYNJ1(99)</t>
    <phoneticPr fontId="2" type="noConversion"/>
  </si>
  <si>
    <t>miR-25-3p</t>
    <phoneticPr fontId="2" type="noConversion"/>
  </si>
  <si>
    <t>BDNF(86)</t>
    <phoneticPr fontId="2" type="noConversion"/>
  </si>
  <si>
    <t>HOOK3(94)</t>
    <phoneticPr fontId="2" type="noConversion"/>
  </si>
  <si>
    <t>gene MAP1A</t>
    <phoneticPr fontId="2" type="noConversion"/>
  </si>
  <si>
    <t>gene SHANK1</t>
    <phoneticPr fontId="2" type="noConversion"/>
  </si>
  <si>
    <t>Aibiotics_6</t>
    <phoneticPr fontId="2" type="noConversion"/>
  </si>
  <si>
    <t>Aibiotics_7</t>
    <phoneticPr fontId="2" type="noConversion"/>
  </si>
  <si>
    <t>Aibiotics_8</t>
    <phoneticPr fontId="2" type="noConversion"/>
  </si>
  <si>
    <t>Aibiotics_10</t>
    <phoneticPr fontId="2" type="noConversion"/>
  </si>
  <si>
    <t>Aibiotics_11</t>
    <phoneticPr fontId="2" type="noConversion"/>
  </si>
  <si>
    <t>25.04.18</t>
    <phoneticPr fontId="2" type="noConversion"/>
  </si>
  <si>
    <t>GS-017-H</t>
    <phoneticPr fontId="2" type="noConversion"/>
  </si>
  <si>
    <t>C1</t>
    <phoneticPr fontId="2" type="noConversion"/>
  </si>
  <si>
    <t>CTL</t>
    <phoneticPr fontId="2" type="noConversion"/>
  </si>
  <si>
    <t>남</t>
    <phoneticPr fontId="2" type="noConversion"/>
  </si>
  <si>
    <t>757.5 2</t>
  </si>
  <si>
    <t>-</t>
  </si>
  <si>
    <t>GS-028-H</t>
    <phoneticPr fontId="2" type="noConversion"/>
  </si>
  <si>
    <t>C2</t>
  </si>
  <si>
    <t>여</t>
    <phoneticPr fontId="2" type="noConversion"/>
  </si>
  <si>
    <t>575.0 3</t>
  </si>
  <si>
    <t>GS-060-H</t>
    <phoneticPr fontId="2" type="noConversion"/>
  </si>
  <si>
    <t>C3</t>
  </si>
  <si>
    <t>542.5 4</t>
  </si>
  <si>
    <t>GS-065-H</t>
    <phoneticPr fontId="2" type="noConversion"/>
  </si>
  <si>
    <t>C4</t>
  </si>
  <si>
    <t>507.5 5</t>
  </si>
  <si>
    <t>GS-114-H</t>
    <phoneticPr fontId="2" type="noConversion"/>
  </si>
  <si>
    <t>C5</t>
  </si>
  <si>
    <t>460.0 6</t>
  </si>
  <si>
    <t>25.06.23</t>
    <phoneticPr fontId="2" type="noConversion"/>
  </si>
  <si>
    <t>GS-001-H</t>
    <phoneticPr fontId="2" type="noConversion"/>
  </si>
  <si>
    <t>C6</t>
    <phoneticPr fontId="2" type="noConversion"/>
  </si>
  <si>
    <t>1050.0 7</t>
  </si>
  <si>
    <t>25.06.23</t>
  </si>
  <si>
    <t>GS-123-H</t>
    <phoneticPr fontId="2" type="noConversion"/>
  </si>
  <si>
    <t>C7</t>
  </si>
  <si>
    <t>697.5 8</t>
  </si>
  <si>
    <t>GS-148-H</t>
    <phoneticPr fontId="2" type="noConversion"/>
  </si>
  <si>
    <t>C8</t>
  </si>
  <si>
    <t>982.5 9</t>
  </si>
  <si>
    <t>GS-191-H</t>
    <phoneticPr fontId="2" type="noConversion"/>
  </si>
  <si>
    <t>C9</t>
  </si>
  <si>
    <t>657.5 10</t>
  </si>
  <si>
    <t>GS-268-H</t>
    <phoneticPr fontId="2" type="noConversion"/>
  </si>
  <si>
    <t>C10</t>
  </si>
  <si>
    <t>752.5 11</t>
  </si>
  <si>
    <t>11040952SER02101</t>
    <phoneticPr fontId="2" type="noConversion"/>
  </si>
  <si>
    <t>조석향</t>
    <phoneticPr fontId="2" type="noConversion"/>
  </si>
  <si>
    <t>00472393</t>
    <phoneticPr fontId="2" type="noConversion"/>
  </si>
  <si>
    <t>AD1</t>
    <phoneticPr fontId="2" type="noConversion"/>
  </si>
  <si>
    <t>AD</t>
    <phoneticPr fontId="2" type="noConversion"/>
  </si>
  <si>
    <t>707.5 12</t>
  </si>
  <si>
    <t>11667571SER03101</t>
    <phoneticPr fontId="2" type="noConversion"/>
  </si>
  <si>
    <t>송금숙</t>
    <phoneticPr fontId="2" type="noConversion"/>
  </si>
  <si>
    <t>70102639</t>
    <phoneticPr fontId="2" type="noConversion"/>
  </si>
  <si>
    <t>AD2</t>
  </si>
  <si>
    <t>482.5 13</t>
  </si>
  <si>
    <t>11745275SER03101</t>
    <phoneticPr fontId="2" type="noConversion"/>
  </si>
  <si>
    <t>오강선</t>
    <phoneticPr fontId="2" type="noConversion"/>
  </si>
  <si>
    <t>00037509</t>
    <phoneticPr fontId="2" type="noConversion"/>
  </si>
  <si>
    <t>AD3</t>
  </si>
  <si>
    <t>527.5 14</t>
  </si>
  <si>
    <t>11377117SER02101</t>
    <phoneticPr fontId="2" type="noConversion"/>
  </si>
  <si>
    <t>문필남</t>
    <phoneticPr fontId="2" type="noConversion"/>
  </si>
  <si>
    <t>00829081</t>
    <phoneticPr fontId="2" type="noConversion"/>
  </si>
  <si>
    <t>AD4</t>
  </si>
  <si>
    <t>595.0 15</t>
  </si>
  <si>
    <t>11560179SER03101</t>
    <phoneticPr fontId="2" type="noConversion"/>
  </si>
  <si>
    <t>이점연</t>
    <phoneticPr fontId="2" type="noConversion"/>
  </si>
  <si>
    <t>00668764</t>
    <phoneticPr fontId="2" type="noConversion"/>
  </si>
  <si>
    <t>AD5</t>
  </si>
  <si>
    <t>465.0 16</t>
  </si>
  <si>
    <t>11646152SER04101</t>
    <phoneticPr fontId="2" type="noConversion"/>
  </si>
  <si>
    <t>서정순</t>
    <phoneticPr fontId="2" type="noConversion"/>
  </si>
  <si>
    <t>AD6</t>
    <phoneticPr fontId="2" type="noConversion"/>
  </si>
  <si>
    <t>822.5 17</t>
  </si>
  <si>
    <t>11050395SER01101</t>
    <phoneticPr fontId="2" type="noConversion"/>
  </si>
  <si>
    <t>김봉금</t>
    <phoneticPr fontId="2" type="noConversion"/>
  </si>
  <si>
    <t>AD7</t>
  </si>
  <si>
    <t>920.0 18</t>
  </si>
  <si>
    <t>11658548SER03101</t>
    <phoneticPr fontId="2" type="noConversion"/>
  </si>
  <si>
    <t>신상점</t>
    <phoneticPr fontId="2" type="noConversion"/>
  </si>
  <si>
    <t>AD8</t>
  </si>
  <si>
    <t>827.5 19</t>
  </si>
  <si>
    <t>11282794SER01101</t>
    <phoneticPr fontId="2" type="noConversion"/>
  </si>
  <si>
    <t>김동순</t>
    <phoneticPr fontId="2" type="noConversion"/>
  </si>
  <si>
    <t>AD9</t>
  </si>
  <si>
    <t>1197.5 20</t>
  </si>
  <si>
    <t>11260289SER01101</t>
    <phoneticPr fontId="2" type="noConversion"/>
  </si>
  <si>
    <t>최복례</t>
    <phoneticPr fontId="2" type="noConversion"/>
  </si>
  <si>
    <t>AD10</t>
  </si>
  <si>
    <t>917.5 21</t>
  </si>
  <si>
    <t>GS-174-D</t>
  </si>
  <si>
    <t>MCI1</t>
    <phoneticPr fontId="2" type="noConversion"/>
  </si>
  <si>
    <t>D(MCI)</t>
  </si>
  <si>
    <t>남</t>
  </si>
  <si>
    <t>682.5 22</t>
  </si>
  <si>
    <t>GS-198-P</t>
  </si>
  <si>
    <t>MCI2</t>
  </si>
  <si>
    <t>D(SCD)</t>
  </si>
  <si>
    <t>여</t>
  </si>
  <si>
    <t>892.5 23</t>
  </si>
  <si>
    <t>GS-237-D</t>
  </si>
  <si>
    <t>MCI3</t>
  </si>
  <si>
    <t>880.0 24</t>
  </si>
  <si>
    <t>GS-239-D</t>
  </si>
  <si>
    <t>MCI4</t>
  </si>
  <si>
    <t>817.5 25</t>
  </si>
  <si>
    <t>GS-257-D</t>
  </si>
  <si>
    <t>MCI5</t>
  </si>
  <si>
    <t>25.09.08</t>
    <phoneticPr fontId="2" type="noConversion"/>
  </si>
  <si>
    <t>11201385SER02101</t>
  </si>
  <si>
    <t>AD_0004_F_SD_20200227</t>
  </si>
  <si>
    <t>AD11</t>
    <phoneticPr fontId="2" type="noConversion"/>
  </si>
  <si>
    <t>AD</t>
  </si>
  <si>
    <t>F</t>
  </si>
  <si>
    <t>11559313SER03101</t>
  </si>
  <si>
    <t>AD_0005_F_SD_20200922</t>
  </si>
  <si>
    <t>AD12</t>
  </si>
  <si>
    <t>11371600SER03101</t>
  </si>
  <si>
    <t>AD_0006_F_SD_20190611</t>
  </si>
  <si>
    <t>AD13</t>
  </si>
  <si>
    <t>25.09.08</t>
  </si>
  <si>
    <t>11603989SER02101</t>
  </si>
  <si>
    <t>AD_0008_F_SD_20190807</t>
  </si>
  <si>
    <t>AD14</t>
  </si>
  <si>
    <t>11204855SER02101</t>
  </si>
  <si>
    <t>AD_0012_F_SD_20201005</t>
  </si>
  <si>
    <t>AD15</t>
  </si>
  <si>
    <t>11336606SER02101</t>
  </si>
  <si>
    <t>AD_0013_F_SD_20191029</t>
  </si>
  <si>
    <t>AD16</t>
  </si>
  <si>
    <t>11635320SER02101</t>
  </si>
  <si>
    <t>AD_0014_F_SD_20210112</t>
  </si>
  <si>
    <t>AD17</t>
  </si>
  <si>
    <t>11373559SER02101</t>
  </si>
  <si>
    <t>AD_0015_F_SD_20190812</t>
  </si>
  <si>
    <t>AD18</t>
  </si>
  <si>
    <t>11070734SER03101</t>
  </si>
  <si>
    <t>AD_0017_F_SD_20190508</t>
  </si>
  <si>
    <t>AD19</t>
  </si>
  <si>
    <t>11532140SER07101</t>
  </si>
  <si>
    <t>AD_0019_F_SD_20190730</t>
  </si>
  <si>
    <t>AD20</t>
  </si>
  <si>
    <t>11359215SER03101</t>
  </si>
  <si>
    <t>AD_0020_F_SD_20190625</t>
  </si>
  <si>
    <t>AD21</t>
  </si>
  <si>
    <t>11487438SER14101</t>
  </si>
  <si>
    <t>AD_0021_F_SD_20210406</t>
  </si>
  <si>
    <t>AD22</t>
  </si>
  <si>
    <t>11269238SER03101</t>
  </si>
  <si>
    <t>AD_0023_F_SD_20190813</t>
  </si>
  <si>
    <t>AD23</t>
  </si>
  <si>
    <t>11411060SER01101</t>
  </si>
  <si>
    <t>AD_0024_F_SD_20200908</t>
  </si>
  <si>
    <t>AD24</t>
  </si>
  <si>
    <t>11368701SER02101</t>
  </si>
  <si>
    <t>AD_0026_F_SD_20201216</t>
  </si>
  <si>
    <t>AD25</t>
  </si>
  <si>
    <t>Ct dev;
SYNJ1(99)</t>
    <phoneticPr fontId="2" type="noConversion"/>
  </si>
  <si>
    <t>Ct dev;
HOOK3(94)</t>
    <phoneticPr fontId="2" type="noConversion"/>
  </si>
  <si>
    <t>Ct dev; gene MAP1A</t>
    <phoneticPr fontId="2" type="noConversion"/>
  </si>
  <si>
    <t>Ct dev;gene SHANK1</t>
    <phoneticPr fontId="2" type="noConversion"/>
  </si>
  <si>
    <t>Ct dev; Aibiotics_6</t>
    <phoneticPr fontId="2" type="noConversion"/>
  </si>
  <si>
    <t>Ct dev; Aibiotics_7</t>
    <phoneticPr fontId="2" type="noConversion"/>
  </si>
  <si>
    <t>Ct dev; Aibiotics_8</t>
    <phoneticPr fontId="2" type="noConversion"/>
  </si>
  <si>
    <t>Ct dev; Aibiotics_10</t>
    <phoneticPr fontId="2" type="noConversion"/>
  </si>
  <si>
    <t>Ct dev; Aibiotics_11</t>
    <phoneticPr fontId="2" type="noConversion"/>
  </si>
  <si>
    <t>1A</t>
  </si>
  <si>
    <t>GS-001-H</t>
  </si>
  <si>
    <t>CTL_0112_M_SD_20201030</t>
  </si>
  <si>
    <t>C11</t>
    <phoneticPr fontId="2" type="noConversion"/>
  </si>
  <si>
    <t>CTL</t>
  </si>
  <si>
    <t>M</t>
  </si>
  <si>
    <t>NA</t>
  </si>
  <si>
    <t>2A</t>
  </si>
  <si>
    <t>GS-012-H</t>
  </si>
  <si>
    <t>CTL_0113_F_SD_20201119</t>
  </si>
  <si>
    <t>C12</t>
  </si>
  <si>
    <t>3A</t>
  </si>
  <si>
    <t>GS-123-H</t>
  </si>
  <si>
    <t>CTL_0119_M_SD_20210624</t>
  </si>
  <si>
    <t>C13</t>
  </si>
  <si>
    <t>4A</t>
  </si>
  <si>
    <t>GS-148-H</t>
  </si>
  <si>
    <t>CTL_0120_M_SD_20210901</t>
  </si>
  <si>
    <t>C14</t>
  </si>
  <si>
    <t>5A</t>
  </si>
  <si>
    <t>GS-191-H</t>
  </si>
  <si>
    <t>CTL_0121_M_SD_20211118</t>
  </si>
  <si>
    <t>C15</t>
  </si>
  <si>
    <t>6A</t>
  </si>
  <si>
    <t>GS-268-H</t>
  </si>
  <si>
    <t>CTL_0122_M_SD_20230921</t>
  </si>
  <si>
    <t>C16</t>
  </si>
  <si>
    <t>7A</t>
  </si>
  <si>
    <t>GS-271-H</t>
  </si>
  <si>
    <t>CTL_0123_F_SD_20230829</t>
  </si>
  <si>
    <t>C17</t>
  </si>
  <si>
    <t>68</t>
  </si>
  <si>
    <t>2023-08-29</t>
  </si>
  <si>
    <t>7B</t>
  </si>
  <si>
    <t>C18</t>
  </si>
  <si>
    <t>8A</t>
  </si>
  <si>
    <t>GS-273-H</t>
  </si>
  <si>
    <t>CTL_0124_F_SD_20230906</t>
  </si>
  <si>
    <t>C19</t>
  </si>
  <si>
    <t>61</t>
  </si>
  <si>
    <t>2023-09-06</t>
  </si>
  <si>
    <t>8B</t>
  </si>
  <si>
    <t>C20</t>
  </si>
  <si>
    <t>9A</t>
  </si>
  <si>
    <t>GS-274-H</t>
  </si>
  <si>
    <t>CTL_0125_M_SD_20230915</t>
  </si>
  <si>
    <t>C21</t>
  </si>
  <si>
    <t>9B</t>
  </si>
  <si>
    <t>C22</t>
  </si>
  <si>
    <t>GS-090-D</t>
  </si>
  <si>
    <t>MCI_0126_M_SD_20210615</t>
  </si>
  <si>
    <t>MCI6</t>
    <phoneticPr fontId="2" type="noConversion"/>
  </si>
  <si>
    <t>MCI</t>
  </si>
  <si>
    <t>1B</t>
  </si>
  <si>
    <t>MCI7</t>
  </si>
  <si>
    <t>MCI_0127_M_SD_20211108</t>
  </si>
  <si>
    <t>MCI8</t>
  </si>
  <si>
    <t>index1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</si>
</sst>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00\-00\-00"/>
  </numFmts>
  <fonts count="13"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Helvetica Neue"/>
      <family val="2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Helvetica Neue"/>
      <family val="2"/>
    </font>
    <font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12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7" fillId="0" borderId="0" xfId="0" applyNumberFormat="1" applyFont="1">
      <alignment vertical="center"/>
    </xf>
    <xf numFmtId="2" fontId="1" fillId="0" borderId="0" xfId="0" applyNumberFormat="1" applyFont="1" applyAlignment="1">
      <alignment horizontal="center" vertical="center"/>
    </xf>
    <xf numFmtId="2" fontId="7" fillId="3" borderId="0" xfId="0" applyNumberFormat="1" applyFont="1" applyFill="1">
      <alignment vertical="center"/>
    </xf>
    <xf numFmtId="0" fontId="0" fillId="3" borderId="0" xfId="0" applyFill="1">
      <alignment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9" fillId="4" borderId="1" xfId="1" applyFont="1" applyFill="1" applyBorder="1" applyAlignment="1">
      <alignment horizontal="center"/>
    </xf>
    <xf numFmtId="176" fontId="6" fillId="4" borderId="1" xfId="1" applyNumberFormat="1" applyFont="1" applyFill="1" applyBorder="1" applyAlignment="1">
      <alignment horizontal="center" vertical="center"/>
    </xf>
    <xf numFmtId="176" fontId="3" fillId="4" borderId="1" xfId="1" applyNumberFormat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2" fontId="11" fillId="3" borderId="0" xfId="0" applyNumberFormat="1" applyFont="1" applyFill="1">
      <alignment vertical="center"/>
    </xf>
    <xf numFmtId="177" fontId="1" fillId="4" borderId="1" xfId="2" applyNumberFormat="1" applyFont="1" applyFill="1" applyBorder="1" applyAlignment="1">
      <alignment horizontal="center" vertical="center"/>
    </xf>
    <xf numFmtId="4" fontId="9" fillId="4" borderId="7" xfId="1" applyNumberFormat="1" applyFont="1" applyFill="1" applyBorder="1" applyAlignment="1">
      <alignment horizontal="center" vertical="center"/>
    </xf>
    <xf numFmtId="4" fontId="1" fillId="4" borderId="7" xfId="0" applyNumberFormat="1" applyFont="1" applyFill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4" fontId="1" fillId="4" borderId="0" xfId="0" applyNumberFormat="1" applyFont="1" applyFill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6" fontId="3" fillId="6" borderId="1" xfId="1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/>
    </xf>
  </cellXfs>
  <cellStyles count="3">
    <cellStyle name="표준" xfId="0" builtinId="0"/>
    <cellStyle name="표준 2" xfId="1" xr:uid="{9A5C3640-29F1-464F-B7AC-9E5A21478DB7}"/>
    <cellStyle name="표준 72" xfId="2" xr:uid="{809E8093-22DC-9E46-859E-11403A9824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75A4-96B4-5246-B997-8530DD3C573D}">
  <dimension ref="A1:BQ56"/>
  <sheetViews>
    <sheetView tabSelected="1" topLeftCell="AK33" workbookViewId="0">
      <selection activeCell="AW56" sqref="AO1:AW56"/>
    </sheetView>
  </sheetViews>
  <sheetFormatPr baseColWidth="10" defaultRowHeight="18"/>
  <sheetData>
    <row r="1" spans="1:53" s="11" customFormat="1" ht="50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7" t="s">
        <v>20</v>
      </c>
      <c r="V1" s="6" t="s">
        <v>21</v>
      </c>
      <c r="W1" s="8" t="s">
        <v>20</v>
      </c>
      <c r="X1" s="9" t="s">
        <v>22</v>
      </c>
      <c r="Y1" s="8" t="s">
        <v>20</v>
      </c>
      <c r="Z1" s="9" t="s">
        <v>23</v>
      </c>
      <c r="AA1" s="8" t="s">
        <v>20</v>
      </c>
      <c r="AB1" s="9" t="s">
        <v>24</v>
      </c>
      <c r="AC1" s="7" t="s">
        <v>20</v>
      </c>
      <c r="AD1" s="10" t="s">
        <v>25</v>
      </c>
      <c r="AE1" s="8" t="s">
        <v>20</v>
      </c>
      <c r="AF1" s="9" t="s">
        <v>26</v>
      </c>
      <c r="AG1" s="8" t="s">
        <v>20</v>
      </c>
      <c r="AH1" s="9" t="s">
        <v>27</v>
      </c>
      <c r="AI1" s="8" t="s">
        <v>20</v>
      </c>
      <c r="AJ1" s="9" t="s">
        <v>28</v>
      </c>
      <c r="AK1" s="8" t="s">
        <v>20</v>
      </c>
      <c r="AL1" s="9" t="s">
        <v>29</v>
      </c>
      <c r="AM1" s="7" t="s">
        <v>20</v>
      </c>
      <c r="AN1" s="45"/>
      <c r="AO1" s="6" t="s">
        <v>180</v>
      </c>
      <c r="AP1" s="9" t="s">
        <v>181</v>
      </c>
      <c r="AQ1" s="9" t="s">
        <v>182</v>
      </c>
      <c r="AR1" s="9" t="s">
        <v>183</v>
      </c>
      <c r="AS1" s="10" t="s">
        <v>184</v>
      </c>
      <c r="AT1" s="10" t="s">
        <v>185</v>
      </c>
      <c r="AU1" s="10" t="s">
        <v>186</v>
      </c>
      <c r="AV1" s="10" t="s">
        <v>187</v>
      </c>
      <c r="AW1" s="10" t="s">
        <v>188</v>
      </c>
      <c r="AY1" s="11" t="s">
        <v>246</v>
      </c>
    </row>
    <row r="2" spans="1:53" s="16" customFormat="1" ht="15" customHeight="1">
      <c r="A2" s="12" t="s">
        <v>30</v>
      </c>
      <c r="B2" s="12"/>
      <c r="C2" s="12">
        <v>11</v>
      </c>
      <c r="D2" s="12" t="s">
        <v>31</v>
      </c>
      <c r="E2" s="13"/>
      <c r="F2" s="12"/>
      <c r="G2" s="12"/>
      <c r="H2" s="12" t="s">
        <v>32</v>
      </c>
      <c r="I2" s="12" t="s">
        <v>33</v>
      </c>
      <c r="J2" s="12">
        <v>57</v>
      </c>
      <c r="K2" s="12" t="s">
        <v>34</v>
      </c>
      <c r="L2" s="12"/>
      <c r="M2" s="12"/>
      <c r="N2" s="12"/>
      <c r="O2" s="12">
        <v>15.2</v>
      </c>
      <c r="P2" s="12">
        <v>1.27</v>
      </c>
      <c r="Q2" s="12">
        <v>0.42</v>
      </c>
      <c r="R2" s="12">
        <v>50</v>
      </c>
      <c r="S2" s="12" t="s">
        <v>35</v>
      </c>
      <c r="T2" s="14">
        <v>26.25</v>
      </c>
      <c r="U2" s="14">
        <v>25.29</v>
      </c>
      <c r="V2" s="14" t="s">
        <v>36</v>
      </c>
      <c r="W2" s="14">
        <v>25.31</v>
      </c>
      <c r="X2" s="14">
        <v>25.55</v>
      </c>
      <c r="Y2" s="14">
        <v>25.33</v>
      </c>
      <c r="Z2" s="14">
        <v>29.66</v>
      </c>
      <c r="AA2" s="14">
        <v>25.26</v>
      </c>
      <c r="AB2" s="14">
        <v>24.4</v>
      </c>
      <c r="AC2" s="14">
        <v>25.08</v>
      </c>
      <c r="AD2" s="14">
        <v>40</v>
      </c>
      <c r="AE2" s="14">
        <v>26.81</v>
      </c>
      <c r="AF2" s="14">
        <v>33.35</v>
      </c>
      <c r="AG2" s="14">
        <v>26.77</v>
      </c>
      <c r="AH2" s="14">
        <v>40</v>
      </c>
      <c r="AI2" s="14">
        <v>26.9</v>
      </c>
      <c r="AJ2" s="14">
        <v>33.090000000000003</v>
      </c>
      <c r="AK2" s="14">
        <v>27.02</v>
      </c>
      <c r="AL2" s="14">
        <v>38.57</v>
      </c>
      <c r="AM2" s="14">
        <v>26.81</v>
      </c>
      <c r="AN2" s="45"/>
      <c r="AO2" s="16">
        <f>T2-U2</f>
        <v>0.96000000000000085</v>
      </c>
      <c r="AP2" s="16">
        <f>X2-Y2</f>
        <v>0.22000000000000242</v>
      </c>
      <c r="AQ2" s="16">
        <f>Z2-AA2</f>
        <v>4.3999999999999986</v>
      </c>
      <c r="AR2" s="16">
        <f>AB2-AC2</f>
        <v>-0.67999999999999972</v>
      </c>
      <c r="AS2" s="16">
        <f>AD2-AE2</f>
        <v>13.190000000000001</v>
      </c>
      <c r="AT2" s="16">
        <f>AF2-AG2</f>
        <v>6.5800000000000018</v>
      </c>
      <c r="AU2" s="16">
        <f>AH2-AI2</f>
        <v>13.100000000000001</v>
      </c>
      <c r="AV2" s="16">
        <f>AJ2-AK2</f>
        <v>6.0700000000000038</v>
      </c>
      <c r="AW2" s="16">
        <f>AL2-AM2</f>
        <v>11.760000000000002</v>
      </c>
      <c r="AY2" s="17">
        <v>0.26818190545611198</v>
      </c>
      <c r="AZ2"/>
      <c r="BA2"/>
    </row>
    <row r="3" spans="1:53" s="16" customFormat="1" ht="15" customHeight="1">
      <c r="A3" s="12" t="s">
        <v>30</v>
      </c>
      <c r="B3" s="12"/>
      <c r="C3" s="12">
        <v>12</v>
      </c>
      <c r="D3" s="12" t="s">
        <v>37</v>
      </c>
      <c r="E3" s="13"/>
      <c r="F3" s="12"/>
      <c r="G3" s="12"/>
      <c r="H3" s="12" t="s">
        <v>38</v>
      </c>
      <c r="I3" s="12" t="s">
        <v>33</v>
      </c>
      <c r="J3" s="12">
        <v>66</v>
      </c>
      <c r="K3" s="12" t="s">
        <v>39</v>
      </c>
      <c r="L3" s="12"/>
      <c r="M3" s="12"/>
      <c r="N3" s="12"/>
      <c r="O3" s="12">
        <v>11.5</v>
      </c>
      <c r="P3" s="12">
        <v>1.24</v>
      </c>
      <c r="Q3" s="12">
        <v>0.38</v>
      </c>
      <c r="R3" s="12">
        <v>50</v>
      </c>
      <c r="S3" s="12" t="s">
        <v>40</v>
      </c>
      <c r="T3" s="15">
        <v>26.83</v>
      </c>
      <c r="U3" s="15">
        <v>24.91</v>
      </c>
      <c r="V3" s="15" t="s">
        <v>36</v>
      </c>
      <c r="W3" s="15">
        <v>24.63</v>
      </c>
      <c r="X3" s="15">
        <v>26.13</v>
      </c>
      <c r="Y3" s="15">
        <v>24.74</v>
      </c>
      <c r="Z3" s="15">
        <v>30.19</v>
      </c>
      <c r="AA3" s="15">
        <v>24.62</v>
      </c>
      <c r="AB3" s="15">
        <v>24.26</v>
      </c>
      <c r="AC3" s="15">
        <v>24.32</v>
      </c>
      <c r="AD3" s="15">
        <v>40</v>
      </c>
      <c r="AE3" s="15">
        <v>26.4</v>
      </c>
      <c r="AF3" s="15">
        <v>34.159999999999997</v>
      </c>
      <c r="AG3" s="15">
        <v>26.32</v>
      </c>
      <c r="AH3" s="15">
        <v>39.53</v>
      </c>
      <c r="AI3" s="15">
        <v>26.37</v>
      </c>
      <c r="AJ3" s="15">
        <v>33.950000000000003</v>
      </c>
      <c r="AK3" s="15">
        <v>26.4</v>
      </c>
      <c r="AL3" s="15">
        <v>39.07</v>
      </c>
      <c r="AM3" s="15">
        <v>26.28</v>
      </c>
      <c r="AN3" s="45"/>
      <c r="AO3" s="18">
        <f t="shared" ref="AO3:AO41" si="0">T3-U3</f>
        <v>1.9199999999999982</v>
      </c>
      <c r="AP3" s="18">
        <f t="shared" ref="AP3:AP41" si="1">X3-Y3</f>
        <v>1.3900000000000006</v>
      </c>
      <c r="AQ3" s="18">
        <f t="shared" ref="AQ3:AQ41" si="2">Z3-AA3</f>
        <v>5.57</v>
      </c>
      <c r="AR3" s="18">
        <f t="shared" ref="AR3:AR41" si="3">AB3-AC3</f>
        <v>-5.9999999999998721E-2</v>
      </c>
      <c r="AS3" s="18">
        <f t="shared" ref="AS3:AS41" si="4">AD3-AE3</f>
        <v>13.600000000000001</v>
      </c>
      <c r="AT3" s="18">
        <f t="shared" ref="AT3:AT41" si="5">AF3-AG3</f>
        <v>7.8399999999999963</v>
      </c>
      <c r="AU3" s="18">
        <f t="shared" ref="AU3:AU41" si="6">AH3-AI3</f>
        <v>13.16</v>
      </c>
      <c r="AV3" s="18">
        <f t="shared" ref="AV3:AV41" si="7">AJ3-AK3</f>
        <v>7.5500000000000043</v>
      </c>
      <c r="AW3" s="18">
        <f t="shared" ref="AW3:AW41" si="8">AL3-AM3</f>
        <v>12.79</v>
      </c>
      <c r="AY3" s="17">
        <v>0.11927073249239201</v>
      </c>
      <c r="AZ3"/>
      <c r="BA3"/>
    </row>
    <row r="4" spans="1:53" s="16" customFormat="1" ht="15" customHeight="1">
      <c r="A4" s="12" t="s">
        <v>30</v>
      </c>
      <c r="B4" s="12"/>
      <c r="C4" s="12">
        <v>13</v>
      </c>
      <c r="D4" s="12" t="s">
        <v>41</v>
      </c>
      <c r="E4" s="13"/>
      <c r="F4" s="12"/>
      <c r="G4" s="12"/>
      <c r="H4" s="12" t="s">
        <v>42</v>
      </c>
      <c r="I4" s="12" t="s">
        <v>33</v>
      </c>
      <c r="J4" s="12">
        <v>62</v>
      </c>
      <c r="K4" s="12" t="s">
        <v>39</v>
      </c>
      <c r="L4" s="12"/>
      <c r="M4" s="12"/>
      <c r="N4" s="12"/>
      <c r="O4" s="12">
        <v>10.9</v>
      </c>
      <c r="P4" s="12">
        <v>1.17</v>
      </c>
      <c r="Q4" s="12">
        <v>0.35</v>
      </c>
      <c r="R4" s="12">
        <v>50</v>
      </c>
      <c r="S4" s="12" t="s">
        <v>43</v>
      </c>
      <c r="T4" s="15">
        <v>27.6</v>
      </c>
      <c r="U4" s="15">
        <v>25.31</v>
      </c>
      <c r="V4" s="15" t="s">
        <v>36</v>
      </c>
      <c r="W4" s="15">
        <v>24.96</v>
      </c>
      <c r="X4" s="15">
        <v>26.83</v>
      </c>
      <c r="Y4" s="15">
        <v>25.21</v>
      </c>
      <c r="Z4" s="15">
        <v>28.7</v>
      </c>
      <c r="AA4" s="15">
        <v>24.8</v>
      </c>
      <c r="AB4" s="15">
        <v>24.4</v>
      </c>
      <c r="AC4" s="15">
        <v>24.7</v>
      </c>
      <c r="AD4" s="15">
        <v>40</v>
      </c>
      <c r="AE4" s="15">
        <v>26.8</v>
      </c>
      <c r="AF4" s="15">
        <v>34.24</v>
      </c>
      <c r="AG4" s="15">
        <v>26.71</v>
      </c>
      <c r="AH4" s="15">
        <v>40</v>
      </c>
      <c r="AI4" s="15">
        <v>26.78</v>
      </c>
      <c r="AJ4" s="15">
        <v>34.020000000000003</v>
      </c>
      <c r="AK4" s="15">
        <v>26.88</v>
      </c>
      <c r="AL4" s="15">
        <v>40</v>
      </c>
      <c r="AM4" s="15">
        <v>26.58</v>
      </c>
      <c r="AN4" s="45"/>
      <c r="AO4" s="18">
        <f t="shared" si="0"/>
        <v>2.2900000000000027</v>
      </c>
      <c r="AP4" s="18">
        <f t="shared" si="1"/>
        <v>1.6199999999999974</v>
      </c>
      <c r="AQ4" s="18">
        <f t="shared" si="2"/>
        <v>3.8999999999999986</v>
      </c>
      <c r="AR4" s="18">
        <f t="shared" si="3"/>
        <v>-0.30000000000000071</v>
      </c>
      <c r="AS4" s="18">
        <f t="shared" si="4"/>
        <v>13.2</v>
      </c>
      <c r="AT4" s="18">
        <f t="shared" si="5"/>
        <v>7.5300000000000011</v>
      </c>
      <c r="AU4" s="18">
        <f t="shared" si="6"/>
        <v>13.219999999999999</v>
      </c>
      <c r="AV4" s="18">
        <f t="shared" si="7"/>
        <v>7.1400000000000041</v>
      </c>
      <c r="AW4" s="18">
        <f t="shared" si="8"/>
        <v>13.420000000000002</v>
      </c>
      <c r="AY4" s="17">
        <v>0.19707311335584499</v>
      </c>
      <c r="AZ4"/>
      <c r="BA4"/>
    </row>
    <row r="5" spans="1:53" s="16" customFormat="1" ht="15" customHeight="1">
      <c r="A5" s="12" t="s">
        <v>30</v>
      </c>
      <c r="B5" s="12"/>
      <c r="C5" s="12">
        <v>14</v>
      </c>
      <c r="D5" s="12" t="s">
        <v>44</v>
      </c>
      <c r="E5" s="13"/>
      <c r="F5" s="12"/>
      <c r="G5" s="12"/>
      <c r="H5" s="12" t="s">
        <v>45</v>
      </c>
      <c r="I5" s="12" t="s">
        <v>33</v>
      </c>
      <c r="J5" s="12">
        <v>65</v>
      </c>
      <c r="K5" s="12" t="s">
        <v>34</v>
      </c>
      <c r="L5" s="12"/>
      <c r="M5" s="12"/>
      <c r="N5" s="12"/>
      <c r="O5" s="12">
        <v>10.199999999999999</v>
      </c>
      <c r="P5" s="12">
        <v>1.18</v>
      </c>
      <c r="Q5" s="12">
        <v>0.36</v>
      </c>
      <c r="R5" s="12">
        <v>50</v>
      </c>
      <c r="S5" s="12" t="s">
        <v>46</v>
      </c>
      <c r="T5" s="15">
        <v>26.93</v>
      </c>
      <c r="U5" s="15">
        <v>24.84</v>
      </c>
      <c r="V5" s="15" t="s">
        <v>36</v>
      </c>
      <c r="W5" s="15">
        <v>24.71</v>
      </c>
      <c r="X5" s="15">
        <v>26.47</v>
      </c>
      <c r="Y5" s="15">
        <v>24.79</v>
      </c>
      <c r="Z5" s="15">
        <v>32.619999999999997</v>
      </c>
      <c r="AA5" s="15">
        <v>24.71</v>
      </c>
      <c r="AB5" s="15">
        <v>25.37</v>
      </c>
      <c r="AC5" s="15">
        <v>24.47</v>
      </c>
      <c r="AD5" s="15">
        <v>40</v>
      </c>
      <c r="AE5" s="15">
        <v>26.32</v>
      </c>
      <c r="AF5" s="15">
        <v>34.28</v>
      </c>
      <c r="AG5" s="15">
        <v>26.34</v>
      </c>
      <c r="AH5" s="15">
        <v>40</v>
      </c>
      <c r="AI5" s="15">
        <v>26.11</v>
      </c>
      <c r="AJ5" s="15">
        <v>34.47</v>
      </c>
      <c r="AK5" s="15">
        <v>26.43</v>
      </c>
      <c r="AL5" s="15">
        <v>39.75</v>
      </c>
      <c r="AM5" s="15">
        <v>26.05</v>
      </c>
      <c r="AN5" s="45"/>
      <c r="AO5" s="18">
        <f t="shared" si="0"/>
        <v>2.09</v>
      </c>
      <c r="AP5" s="18">
        <f t="shared" si="1"/>
        <v>1.6799999999999997</v>
      </c>
      <c r="AQ5" s="18">
        <f t="shared" si="2"/>
        <v>7.9099999999999966</v>
      </c>
      <c r="AR5" s="18">
        <f t="shared" si="3"/>
        <v>0.90000000000000213</v>
      </c>
      <c r="AS5" s="18">
        <f t="shared" si="4"/>
        <v>13.68</v>
      </c>
      <c r="AT5" s="18">
        <f t="shared" si="5"/>
        <v>7.9400000000000013</v>
      </c>
      <c r="AU5" s="18">
        <f t="shared" si="6"/>
        <v>13.89</v>
      </c>
      <c r="AV5" s="18">
        <f t="shared" si="7"/>
        <v>8.0399999999999991</v>
      </c>
      <c r="AW5" s="18">
        <f t="shared" si="8"/>
        <v>13.7</v>
      </c>
      <c r="AY5" s="17">
        <v>4.9724149100372997E-2</v>
      </c>
      <c r="AZ5"/>
      <c r="BA5"/>
    </row>
    <row r="6" spans="1:53" s="16" customFormat="1" ht="15" customHeight="1">
      <c r="A6" s="12" t="s">
        <v>30</v>
      </c>
      <c r="B6" s="12"/>
      <c r="C6" s="12">
        <v>15</v>
      </c>
      <c r="D6" s="12" t="s">
        <v>47</v>
      </c>
      <c r="E6" s="13"/>
      <c r="F6" s="12"/>
      <c r="G6" s="12"/>
      <c r="H6" s="12" t="s">
        <v>48</v>
      </c>
      <c r="I6" s="12" t="s">
        <v>33</v>
      </c>
      <c r="J6" s="12">
        <v>57</v>
      </c>
      <c r="K6" s="12" t="s">
        <v>34</v>
      </c>
      <c r="L6" s="12"/>
      <c r="M6" s="12"/>
      <c r="N6" s="12"/>
      <c r="O6" s="12">
        <v>9.1999999999999993</v>
      </c>
      <c r="P6" s="12">
        <v>1.1399999999999999</v>
      </c>
      <c r="Q6" s="12">
        <v>0.32</v>
      </c>
      <c r="R6" s="12">
        <v>50</v>
      </c>
      <c r="S6" s="12" t="s">
        <v>49</v>
      </c>
      <c r="T6" s="15">
        <v>28.31</v>
      </c>
      <c r="U6" s="15">
        <v>25.05</v>
      </c>
      <c r="V6" s="15" t="s">
        <v>36</v>
      </c>
      <c r="W6" s="15">
        <v>25</v>
      </c>
      <c r="X6" s="15">
        <v>27.33</v>
      </c>
      <c r="Y6" s="15">
        <v>24.89</v>
      </c>
      <c r="Z6" s="15">
        <v>30.84</v>
      </c>
      <c r="AA6" s="15">
        <v>24.95</v>
      </c>
      <c r="AB6" s="15">
        <v>25.23</v>
      </c>
      <c r="AC6" s="15">
        <v>24.86</v>
      </c>
      <c r="AD6" s="15">
        <v>40</v>
      </c>
      <c r="AE6" s="15">
        <v>26.61</v>
      </c>
      <c r="AF6" s="15">
        <v>37.07</v>
      </c>
      <c r="AG6" s="15">
        <v>26.84</v>
      </c>
      <c r="AH6" s="15">
        <v>39.369999999999997</v>
      </c>
      <c r="AI6" s="15">
        <v>26.61</v>
      </c>
      <c r="AJ6" s="15">
        <v>34.82</v>
      </c>
      <c r="AK6" s="15">
        <v>33.25</v>
      </c>
      <c r="AL6" s="15">
        <v>40</v>
      </c>
      <c r="AM6" s="15">
        <v>26.66</v>
      </c>
      <c r="AN6" s="45"/>
      <c r="AO6" s="18">
        <f t="shared" si="0"/>
        <v>3.259999999999998</v>
      </c>
      <c r="AP6" s="18">
        <f t="shared" si="1"/>
        <v>2.4399999999999977</v>
      </c>
      <c r="AQ6" s="18">
        <f t="shared" si="2"/>
        <v>5.8900000000000006</v>
      </c>
      <c r="AR6" s="18">
        <f t="shared" si="3"/>
        <v>0.37000000000000099</v>
      </c>
      <c r="AS6" s="18">
        <f t="shared" si="4"/>
        <v>13.39</v>
      </c>
      <c r="AT6" s="18">
        <f t="shared" si="5"/>
        <v>10.23</v>
      </c>
      <c r="AU6" s="18">
        <f t="shared" si="6"/>
        <v>12.759999999999998</v>
      </c>
      <c r="AV6" s="18">
        <f t="shared" si="7"/>
        <v>1.5700000000000003</v>
      </c>
      <c r="AW6" s="18">
        <f t="shared" si="8"/>
        <v>13.34</v>
      </c>
      <c r="AY6" s="17">
        <v>6.18417063994081E-2</v>
      </c>
      <c r="AZ6"/>
      <c r="BA6"/>
    </row>
    <row r="7" spans="1:53" s="16" customFormat="1" ht="15" customHeight="1">
      <c r="A7" s="12" t="s">
        <v>50</v>
      </c>
      <c r="B7" s="12"/>
      <c r="C7" s="12">
        <v>16</v>
      </c>
      <c r="D7" s="12" t="s">
        <v>51</v>
      </c>
      <c r="E7" s="13"/>
      <c r="F7" s="12"/>
      <c r="G7" s="12"/>
      <c r="H7" s="12" t="s">
        <v>52</v>
      </c>
      <c r="I7" s="12" t="s">
        <v>33</v>
      </c>
      <c r="J7" s="12">
        <v>67</v>
      </c>
      <c r="K7" s="12" t="s">
        <v>34</v>
      </c>
      <c r="L7" s="12"/>
      <c r="M7" s="12"/>
      <c r="N7" s="12"/>
      <c r="O7" s="12">
        <v>21</v>
      </c>
      <c r="P7" s="12">
        <v>1.33</v>
      </c>
      <c r="Q7" s="12">
        <v>0.42</v>
      </c>
      <c r="R7" s="12">
        <v>50</v>
      </c>
      <c r="S7" s="12" t="s">
        <v>53</v>
      </c>
      <c r="T7" s="15">
        <v>29.11</v>
      </c>
      <c r="U7" s="15">
        <v>26.3</v>
      </c>
      <c r="V7" s="15" t="s">
        <v>36</v>
      </c>
      <c r="W7" s="15">
        <v>26.29</v>
      </c>
      <c r="X7" s="15">
        <v>28.55</v>
      </c>
      <c r="Y7" s="15">
        <v>26.32</v>
      </c>
      <c r="Z7" s="15">
        <v>28.72</v>
      </c>
      <c r="AA7" s="15">
        <v>26.02</v>
      </c>
      <c r="AB7" s="15">
        <v>24.35</v>
      </c>
      <c r="AC7" s="15">
        <v>26.04</v>
      </c>
      <c r="AD7" s="15">
        <v>40</v>
      </c>
      <c r="AE7" s="15">
        <v>27.94</v>
      </c>
      <c r="AF7" s="15">
        <v>38.409999999999997</v>
      </c>
      <c r="AG7" s="15">
        <v>28.05</v>
      </c>
      <c r="AH7" s="15">
        <v>40</v>
      </c>
      <c r="AI7" s="15">
        <v>27.87</v>
      </c>
      <c r="AJ7" s="15">
        <v>36.43</v>
      </c>
      <c r="AK7" s="15">
        <v>27.88</v>
      </c>
      <c r="AL7" s="15">
        <v>40</v>
      </c>
      <c r="AM7" s="15">
        <v>27.92</v>
      </c>
      <c r="AN7" s="45"/>
      <c r="AO7" s="18">
        <f t="shared" si="0"/>
        <v>2.8099999999999987</v>
      </c>
      <c r="AP7" s="18">
        <f t="shared" si="1"/>
        <v>2.2300000000000004</v>
      </c>
      <c r="AQ7" s="18">
        <f t="shared" si="2"/>
        <v>2.6999999999999993</v>
      </c>
      <c r="AR7" s="18">
        <f t="shared" si="3"/>
        <v>-1.6899999999999977</v>
      </c>
      <c r="AS7" s="18">
        <f t="shared" si="4"/>
        <v>12.059999999999999</v>
      </c>
      <c r="AT7" s="18">
        <f t="shared" si="5"/>
        <v>10.359999999999996</v>
      </c>
      <c r="AU7" s="18">
        <f t="shared" si="6"/>
        <v>12.129999999999999</v>
      </c>
      <c r="AV7" s="18">
        <f t="shared" si="7"/>
        <v>8.5500000000000007</v>
      </c>
      <c r="AW7" s="18">
        <f t="shared" si="8"/>
        <v>12.079999999999998</v>
      </c>
      <c r="AY7" s="17">
        <v>0.14822799378450699</v>
      </c>
      <c r="AZ7"/>
      <c r="BA7"/>
    </row>
    <row r="8" spans="1:53" s="16" customFormat="1" ht="15" customHeight="1">
      <c r="A8" s="12" t="s">
        <v>54</v>
      </c>
      <c r="B8" s="12"/>
      <c r="C8" s="12">
        <v>17</v>
      </c>
      <c r="D8" s="12" t="s">
        <v>55</v>
      </c>
      <c r="E8" s="13"/>
      <c r="F8" s="12"/>
      <c r="G8" s="12"/>
      <c r="H8" s="12" t="s">
        <v>56</v>
      </c>
      <c r="I8" s="12" t="s">
        <v>33</v>
      </c>
      <c r="J8" s="12">
        <v>56</v>
      </c>
      <c r="K8" s="12" t="s">
        <v>34</v>
      </c>
      <c r="L8" s="12"/>
      <c r="M8" s="12"/>
      <c r="N8" s="12"/>
      <c r="O8" s="12">
        <v>14</v>
      </c>
      <c r="P8" s="12">
        <v>1.25</v>
      </c>
      <c r="Q8" s="12">
        <v>0.38</v>
      </c>
      <c r="R8" s="12">
        <v>50</v>
      </c>
      <c r="S8" s="12" t="s">
        <v>57</v>
      </c>
      <c r="T8" s="15">
        <v>25.74</v>
      </c>
      <c r="U8" s="15">
        <v>25.8</v>
      </c>
      <c r="V8" s="15" t="s">
        <v>36</v>
      </c>
      <c r="W8" s="15">
        <v>25.93</v>
      </c>
      <c r="X8" s="15">
        <v>25.22</v>
      </c>
      <c r="Y8" s="15">
        <v>25.96</v>
      </c>
      <c r="Z8" s="15">
        <v>25.9</v>
      </c>
      <c r="AA8" s="15">
        <v>25.21</v>
      </c>
      <c r="AB8" s="15">
        <v>23.96</v>
      </c>
      <c r="AC8" s="15">
        <v>25.57</v>
      </c>
      <c r="AD8" s="15">
        <v>37.78</v>
      </c>
      <c r="AE8" s="15">
        <v>27.21</v>
      </c>
      <c r="AF8" s="15">
        <v>31.11</v>
      </c>
      <c r="AG8" s="15">
        <v>24.93</v>
      </c>
      <c r="AH8" s="15">
        <v>32.21</v>
      </c>
      <c r="AI8" s="15">
        <v>24.86</v>
      </c>
      <c r="AJ8" s="15">
        <v>30.47</v>
      </c>
      <c r="AK8" s="15">
        <v>24.99</v>
      </c>
      <c r="AL8" s="15">
        <v>33.64</v>
      </c>
      <c r="AM8" s="15">
        <v>24.89</v>
      </c>
      <c r="AN8" s="45"/>
      <c r="AO8" s="18">
        <f t="shared" si="0"/>
        <v>-6.0000000000002274E-2</v>
      </c>
      <c r="AP8" s="18">
        <f t="shared" si="1"/>
        <v>-0.74000000000000199</v>
      </c>
      <c r="AQ8" s="18">
        <f t="shared" si="2"/>
        <v>0.68999999999999773</v>
      </c>
      <c r="AR8" s="18">
        <f t="shared" si="3"/>
        <v>-1.6099999999999994</v>
      </c>
      <c r="AS8" s="18">
        <f t="shared" si="4"/>
        <v>10.57</v>
      </c>
      <c r="AT8" s="18">
        <f t="shared" si="5"/>
        <v>6.18</v>
      </c>
      <c r="AU8" s="18">
        <f t="shared" si="6"/>
        <v>7.3500000000000014</v>
      </c>
      <c r="AV8" s="18">
        <f t="shared" si="7"/>
        <v>5.48</v>
      </c>
      <c r="AW8" s="18">
        <f t="shared" si="8"/>
        <v>8.75</v>
      </c>
      <c r="AY8" s="19">
        <v>0.76289668215636297</v>
      </c>
      <c r="AZ8" s="20"/>
      <c r="BA8" s="20"/>
    </row>
    <row r="9" spans="1:53" s="16" customFormat="1" ht="15" customHeight="1">
      <c r="A9" s="12" t="s">
        <v>54</v>
      </c>
      <c r="B9" s="12"/>
      <c r="C9" s="12">
        <v>18</v>
      </c>
      <c r="D9" s="12" t="s">
        <v>58</v>
      </c>
      <c r="E9" s="13"/>
      <c r="F9" s="12"/>
      <c r="G9" s="12"/>
      <c r="H9" s="12" t="s">
        <v>59</v>
      </c>
      <c r="I9" s="12" t="s">
        <v>33</v>
      </c>
      <c r="J9" s="12">
        <v>74</v>
      </c>
      <c r="K9" s="12" t="s">
        <v>34</v>
      </c>
      <c r="L9" s="12"/>
      <c r="M9" s="12"/>
      <c r="N9" s="12"/>
      <c r="O9" s="12">
        <v>19.7</v>
      </c>
      <c r="P9" s="12">
        <v>1.3</v>
      </c>
      <c r="Q9" s="12">
        <v>0.41</v>
      </c>
      <c r="R9" s="12">
        <v>50</v>
      </c>
      <c r="S9" s="12" t="s">
        <v>60</v>
      </c>
      <c r="T9" s="15">
        <v>28.67</v>
      </c>
      <c r="U9" s="15">
        <v>26.85</v>
      </c>
      <c r="V9" s="15" t="s">
        <v>36</v>
      </c>
      <c r="W9" s="15">
        <v>26.99</v>
      </c>
      <c r="X9" s="15">
        <v>27.64</v>
      </c>
      <c r="Y9" s="15">
        <v>26.95</v>
      </c>
      <c r="Z9" s="15">
        <v>27.9</v>
      </c>
      <c r="AA9" s="15">
        <v>26.43</v>
      </c>
      <c r="AB9" s="15">
        <v>25.3</v>
      </c>
      <c r="AC9" s="15">
        <v>26.58</v>
      </c>
      <c r="AD9" s="15">
        <v>40</v>
      </c>
      <c r="AE9" s="15">
        <v>28.65</v>
      </c>
      <c r="AF9" s="15">
        <v>35.15</v>
      </c>
      <c r="AG9" s="15">
        <v>26.15</v>
      </c>
      <c r="AH9" s="15">
        <v>36.04</v>
      </c>
      <c r="AI9" s="15">
        <v>26.04</v>
      </c>
      <c r="AJ9" s="15">
        <v>33.14</v>
      </c>
      <c r="AK9" s="15">
        <v>26.07</v>
      </c>
      <c r="AL9" s="15">
        <v>37.6</v>
      </c>
      <c r="AM9" s="15">
        <v>26.05</v>
      </c>
      <c r="AN9" s="45"/>
      <c r="AO9" s="18">
        <f t="shared" si="0"/>
        <v>1.8200000000000003</v>
      </c>
      <c r="AP9" s="18">
        <f t="shared" si="1"/>
        <v>0.69000000000000128</v>
      </c>
      <c r="AQ9" s="18">
        <f t="shared" si="2"/>
        <v>1.4699999999999989</v>
      </c>
      <c r="AR9" s="18">
        <f t="shared" si="3"/>
        <v>-1.2799999999999976</v>
      </c>
      <c r="AS9" s="18">
        <f t="shared" si="4"/>
        <v>11.350000000000001</v>
      </c>
      <c r="AT9" s="18">
        <f t="shared" si="5"/>
        <v>9</v>
      </c>
      <c r="AU9" s="18">
        <f t="shared" si="6"/>
        <v>10</v>
      </c>
      <c r="AV9" s="18">
        <f t="shared" si="7"/>
        <v>7.07</v>
      </c>
      <c r="AW9" s="18">
        <f t="shared" si="8"/>
        <v>11.55</v>
      </c>
      <c r="AY9" s="17">
        <v>0.46706732695095599</v>
      </c>
      <c r="AZ9"/>
      <c r="BA9"/>
    </row>
    <row r="10" spans="1:53" s="16" customFormat="1" ht="15" customHeight="1">
      <c r="A10" s="12" t="s">
        <v>54</v>
      </c>
      <c r="B10" s="12"/>
      <c r="C10" s="12">
        <v>19</v>
      </c>
      <c r="D10" s="12" t="s">
        <v>61</v>
      </c>
      <c r="E10" s="13"/>
      <c r="F10" s="12"/>
      <c r="G10" s="12"/>
      <c r="H10" s="12" t="s">
        <v>62</v>
      </c>
      <c r="I10" s="12" t="s">
        <v>33</v>
      </c>
      <c r="J10" s="12">
        <v>58</v>
      </c>
      <c r="K10" s="12" t="s">
        <v>34</v>
      </c>
      <c r="L10" s="12"/>
      <c r="M10" s="12"/>
      <c r="N10" s="12"/>
      <c r="O10" s="12">
        <v>13.2</v>
      </c>
      <c r="P10" s="12">
        <v>1.2</v>
      </c>
      <c r="Q10" s="12">
        <v>0.35</v>
      </c>
      <c r="R10" s="12">
        <v>50</v>
      </c>
      <c r="S10" s="12" t="s">
        <v>63</v>
      </c>
      <c r="T10" s="15">
        <v>28.27</v>
      </c>
      <c r="U10" s="15">
        <v>26.06</v>
      </c>
      <c r="V10" s="15" t="s">
        <v>36</v>
      </c>
      <c r="W10" s="15">
        <v>26.14</v>
      </c>
      <c r="X10" s="15">
        <v>27.22</v>
      </c>
      <c r="Y10" s="15">
        <v>26.26</v>
      </c>
      <c r="Z10" s="15">
        <v>27.67</v>
      </c>
      <c r="AA10" s="15">
        <v>25.7</v>
      </c>
      <c r="AB10" s="15">
        <v>25.22</v>
      </c>
      <c r="AC10" s="15">
        <v>25.93</v>
      </c>
      <c r="AD10" s="15">
        <v>40</v>
      </c>
      <c r="AE10" s="15">
        <v>27.73</v>
      </c>
      <c r="AF10" s="15">
        <v>34.1</v>
      </c>
      <c r="AG10" s="15">
        <v>25.39</v>
      </c>
      <c r="AH10" s="15">
        <v>34.659999999999997</v>
      </c>
      <c r="AI10" s="15">
        <v>25.4</v>
      </c>
      <c r="AJ10" s="15">
        <v>33.58</v>
      </c>
      <c r="AK10" s="15">
        <v>25.46</v>
      </c>
      <c r="AL10" s="15">
        <v>36.83</v>
      </c>
      <c r="AM10" s="15">
        <v>25.34</v>
      </c>
      <c r="AN10" s="45"/>
      <c r="AO10" s="18">
        <f t="shared" si="0"/>
        <v>2.2100000000000009</v>
      </c>
      <c r="AP10" s="18">
        <f t="shared" si="1"/>
        <v>0.9599999999999973</v>
      </c>
      <c r="AQ10" s="18">
        <f t="shared" si="2"/>
        <v>1.9700000000000024</v>
      </c>
      <c r="AR10" s="18">
        <f t="shared" si="3"/>
        <v>-0.71000000000000085</v>
      </c>
      <c r="AS10" s="18">
        <f t="shared" si="4"/>
        <v>12.27</v>
      </c>
      <c r="AT10" s="18">
        <f t="shared" si="5"/>
        <v>8.7100000000000009</v>
      </c>
      <c r="AU10" s="18">
        <f t="shared" si="6"/>
        <v>9.259999999999998</v>
      </c>
      <c r="AV10" s="18">
        <f t="shared" si="7"/>
        <v>8.1199999999999974</v>
      </c>
      <c r="AW10" s="18">
        <f t="shared" si="8"/>
        <v>11.489999999999998</v>
      </c>
      <c r="AY10" s="17">
        <v>0.41467526223867501</v>
      </c>
      <c r="AZ10"/>
      <c r="BA10"/>
    </row>
    <row r="11" spans="1:53" s="16" customFormat="1" ht="15" customHeight="1">
      <c r="A11" s="12" t="s">
        <v>54</v>
      </c>
      <c r="B11" s="12"/>
      <c r="C11" s="12">
        <v>20</v>
      </c>
      <c r="D11" s="12" t="s">
        <v>64</v>
      </c>
      <c r="E11" s="13"/>
      <c r="F11" s="12"/>
      <c r="G11" s="12"/>
      <c r="H11" s="12" t="s">
        <v>65</v>
      </c>
      <c r="I11" s="12" t="s">
        <v>33</v>
      </c>
      <c r="J11" s="12">
        <v>68</v>
      </c>
      <c r="K11" s="12" t="s">
        <v>34</v>
      </c>
      <c r="L11" s="12"/>
      <c r="M11" s="12"/>
      <c r="N11" s="12"/>
      <c r="O11" s="12">
        <v>15.1</v>
      </c>
      <c r="P11" s="12">
        <v>1.24</v>
      </c>
      <c r="Q11" s="12">
        <v>0.36</v>
      </c>
      <c r="R11" s="12">
        <v>50</v>
      </c>
      <c r="S11" s="12" t="s">
        <v>66</v>
      </c>
      <c r="T11" s="15">
        <v>27.94</v>
      </c>
      <c r="U11" s="15">
        <v>26.29</v>
      </c>
      <c r="V11" s="15" t="s">
        <v>36</v>
      </c>
      <c r="W11" s="15">
        <v>26.35</v>
      </c>
      <c r="X11" s="15">
        <v>26.98</v>
      </c>
      <c r="Y11" s="15">
        <v>26.47</v>
      </c>
      <c r="Z11" s="15">
        <v>27.77</v>
      </c>
      <c r="AA11" s="15">
        <v>25.89</v>
      </c>
      <c r="AB11" s="15">
        <v>24.27</v>
      </c>
      <c r="AC11" s="15">
        <v>26.07</v>
      </c>
      <c r="AD11" s="15">
        <v>40</v>
      </c>
      <c r="AE11" s="15">
        <v>28.15</v>
      </c>
      <c r="AF11" s="15">
        <v>38.43</v>
      </c>
      <c r="AG11" s="15">
        <v>25.78</v>
      </c>
      <c r="AH11" s="15">
        <v>36.67</v>
      </c>
      <c r="AI11" s="15">
        <v>25.57</v>
      </c>
      <c r="AJ11" s="15">
        <v>34.97</v>
      </c>
      <c r="AK11" s="15">
        <v>25.76</v>
      </c>
      <c r="AL11" s="15">
        <v>40</v>
      </c>
      <c r="AM11" s="15">
        <v>25.6</v>
      </c>
      <c r="AN11" s="45"/>
      <c r="AO11" s="18">
        <f t="shared" si="0"/>
        <v>1.6500000000000021</v>
      </c>
      <c r="AP11" s="18">
        <f t="shared" si="1"/>
        <v>0.51000000000000156</v>
      </c>
      <c r="AQ11" s="18">
        <f t="shared" si="2"/>
        <v>1.879999999999999</v>
      </c>
      <c r="AR11" s="18">
        <f t="shared" si="3"/>
        <v>-1.8000000000000007</v>
      </c>
      <c r="AS11" s="18">
        <f t="shared" si="4"/>
        <v>11.850000000000001</v>
      </c>
      <c r="AT11" s="18">
        <f t="shared" si="5"/>
        <v>12.649999999999999</v>
      </c>
      <c r="AU11" s="18">
        <f t="shared" si="6"/>
        <v>11.100000000000001</v>
      </c>
      <c r="AV11" s="18">
        <f t="shared" si="7"/>
        <v>9.2099999999999973</v>
      </c>
      <c r="AW11" s="18">
        <f t="shared" si="8"/>
        <v>14.399999999999999</v>
      </c>
      <c r="AY11" s="17">
        <v>0.381724627682198</v>
      </c>
      <c r="AZ11"/>
      <c r="BA11"/>
    </row>
    <row r="12" spans="1:53" s="26" customFormat="1" ht="15" customHeight="1">
      <c r="A12" s="21" t="s">
        <v>30</v>
      </c>
      <c r="B12" s="21"/>
      <c r="C12" s="21">
        <v>1</v>
      </c>
      <c r="D12" s="21" t="s">
        <v>67</v>
      </c>
      <c r="E12" s="22"/>
      <c r="F12" s="21" t="s">
        <v>68</v>
      </c>
      <c r="G12" s="23" t="s">
        <v>69</v>
      </c>
      <c r="H12" s="23" t="s">
        <v>70</v>
      </c>
      <c r="I12" s="21" t="s">
        <v>71</v>
      </c>
      <c r="J12" s="21">
        <v>63</v>
      </c>
      <c r="K12" s="21" t="s">
        <v>39</v>
      </c>
      <c r="L12" s="21">
        <v>19</v>
      </c>
      <c r="M12" s="21">
        <v>4</v>
      </c>
      <c r="N12" s="21">
        <v>9</v>
      </c>
      <c r="O12" s="21">
        <v>14.2</v>
      </c>
      <c r="P12" s="21">
        <v>1.26</v>
      </c>
      <c r="Q12" s="21">
        <v>0.42</v>
      </c>
      <c r="R12" s="21">
        <v>50</v>
      </c>
      <c r="S12" s="21" t="s">
        <v>72</v>
      </c>
      <c r="T12" s="24">
        <v>29.15</v>
      </c>
      <c r="U12" s="24">
        <v>25.8</v>
      </c>
      <c r="V12" s="24" t="s">
        <v>36</v>
      </c>
      <c r="W12" s="24">
        <v>26.28</v>
      </c>
      <c r="X12" s="24">
        <v>27.66</v>
      </c>
      <c r="Y12" s="24">
        <v>25.72</v>
      </c>
      <c r="Z12" s="24">
        <v>29.25</v>
      </c>
      <c r="AA12" s="24">
        <v>26</v>
      </c>
      <c r="AB12" s="24">
        <v>25.63</v>
      </c>
      <c r="AC12" s="24">
        <v>26.16</v>
      </c>
      <c r="AD12" s="25">
        <v>40</v>
      </c>
      <c r="AE12" s="25">
        <v>27.57</v>
      </c>
      <c r="AF12" s="25">
        <v>37.9</v>
      </c>
      <c r="AG12" s="25">
        <v>25.19</v>
      </c>
      <c r="AH12" s="25">
        <v>35.369999999999997</v>
      </c>
      <c r="AI12" s="25">
        <v>25.01</v>
      </c>
      <c r="AJ12" s="25">
        <v>35.200000000000003</v>
      </c>
      <c r="AK12" s="25">
        <v>25.16</v>
      </c>
      <c r="AL12" s="25">
        <v>39.4</v>
      </c>
      <c r="AM12" s="25">
        <v>25.12</v>
      </c>
      <c r="AN12" s="46"/>
      <c r="AO12" s="27">
        <f t="shared" si="0"/>
        <v>3.3499999999999979</v>
      </c>
      <c r="AP12" s="27">
        <f t="shared" si="1"/>
        <v>1.9400000000000013</v>
      </c>
      <c r="AQ12" s="27">
        <f t="shared" si="2"/>
        <v>3.25</v>
      </c>
      <c r="AR12" s="27">
        <f t="shared" si="3"/>
        <v>-0.53000000000000114</v>
      </c>
      <c r="AS12" s="27">
        <f t="shared" si="4"/>
        <v>12.43</v>
      </c>
      <c r="AT12" s="27">
        <f t="shared" si="5"/>
        <v>12.709999999999997</v>
      </c>
      <c r="AU12" s="27">
        <f t="shared" si="6"/>
        <v>10.359999999999996</v>
      </c>
      <c r="AV12" s="27">
        <f t="shared" si="7"/>
        <v>10.040000000000003</v>
      </c>
      <c r="AW12" s="27">
        <f t="shared" si="8"/>
        <v>14.279999999999998</v>
      </c>
      <c r="AY12" s="19">
        <v>0.167037074686394</v>
      </c>
      <c r="AZ12" s="20"/>
    </row>
    <row r="13" spans="1:53" s="26" customFormat="1" ht="15" customHeight="1">
      <c r="A13" s="21" t="s">
        <v>30</v>
      </c>
      <c r="B13" s="21"/>
      <c r="C13" s="21">
        <v>2</v>
      </c>
      <c r="D13" s="21" t="s">
        <v>73</v>
      </c>
      <c r="E13" s="22"/>
      <c r="F13" s="21" t="s">
        <v>74</v>
      </c>
      <c r="G13" s="23" t="s">
        <v>75</v>
      </c>
      <c r="H13" s="23" t="s">
        <v>76</v>
      </c>
      <c r="I13" s="21" t="s">
        <v>71</v>
      </c>
      <c r="J13" s="21">
        <v>70</v>
      </c>
      <c r="K13" s="21" t="s">
        <v>39</v>
      </c>
      <c r="L13" s="21">
        <v>26</v>
      </c>
      <c r="M13" s="21">
        <v>3</v>
      </c>
      <c r="N13" s="21">
        <v>6</v>
      </c>
      <c r="O13" s="21">
        <v>9.6999999999999993</v>
      </c>
      <c r="P13" s="21">
        <v>1.1499999999999999</v>
      </c>
      <c r="Q13" s="21">
        <v>0.37</v>
      </c>
      <c r="R13" s="21">
        <v>50</v>
      </c>
      <c r="S13" s="21" t="s">
        <v>77</v>
      </c>
      <c r="T13" s="25">
        <v>25.08</v>
      </c>
      <c r="U13" s="25">
        <v>26.99</v>
      </c>
      <c r="V13" s="25" t="s">
        <v>36</v>
      </c>
      <c r="W13" s="25">
        <v>27.43</v>
      </c>
      <c r="X13" s="25">
        <v>23.95</v>
      </c>
      <c r="Y13" s="25">
        <v>26.9</v>
      </c>
      <c r="Z13" s="25">
        <v>28.01</v>
      </c>
      <c r="AA13" s="25">
        <v>26.89</v>
      </c>
      <c r="AB13" s="25">
        <v>23.88</v>
      </c>
      <c r="AC13" s="25">
        <v>27.19</v>
      </c>
      <c r="AD13" s="25">
        <v>37.81</v>
      </c>
      <c r="AE13" s="25">
        <v>28.65</v>
      </c>
      <c r="AF13" s="25">
        <v>30.98</v>
      </c>
      <c r="AG13" s="25">
        <v>26.27</v>
      </c>
      <c r="AH13" s="25">
        <v>32.08</v>
      </c>
      <c r="AI13" s="25">
        <v>26.09</v>
      </c>
      <c r="AJ13" s="25">
        <v>29.37</v>
      </c>
      <c r="AK13" s="25">
        <v>25.84</v>
      </c>
      <c r="AL13" s="25">
        <v>33.090000000000003</v>
      </c>
      <c r="AM13" s="25">
        <v>25.96</v>
      </c>
      <c r="AN13" s="46"/>
      <c r="AO13" s="27">
        <f t="shared" si="0"/>
        <v>-1.9100000000000001</v>
      </c>
      <c r="AP13" s="27">
        <f t="shared" si="1"/>
        <v>-2.9499999999999993</v>
      </c>
      <c r="AQ13" s="27">
        <f t="shared" si="2"/>
        <v>1.120000000000001</v>
      </c>
      <c r="AR13" s="27">
        <f t="shared" si="3"/>
        <v>-3.3100000000000023</v>
      </c>
      <c r="AS13" s="27">
        <f t="shared" si="4"/>
        <v>9.1600000000000037</v>
      </c>
      <c r="AT13" s="27">
        <f t="shared" si="5"/>
        <v>4.7100000000000009</v>
      </c>
      <c r="AU13" s="27">
        <f t="shared" si="6"/>
        <v>5.9899999999999984</v>
      </c>
      <c r="AV13" s="27">
        <f t="shared" si="7"/>
        <v>3.5300000000000011</v>
      </c>
      <c r="AW13" s="27">
        <f t="shared" si="8"/>
        <v>7.1300000000000026</v>
      </c>
      <c r="AY13" s="17">
        <v>0.80299883253875803</v>
      </c>
      <c r="AZ13"/>
    </row>
    <row r="14" spans="1:53" s="26" customFormat="1" ht="15" customHeight="1">
      <c r="A14" s="21" t="s">
        <v>30</v>
      </c>
      <c r="B14" s="21"/>
      <c r="C14" s="21">
        <v>3</v>
      </c>
      <c r="D14" s="21" t="s">
        <v>78</v>
      </c>
      <c r="E14" s="22"/>
      <c r="F14" s="21" t="s">
        <v>79</v>
      </c>
      <c r="G14" s="23" t="s">
        <v>80</v>
      </c>
      <c r="H14" s="23" t="s">
        <v>81</v>
      </c>
      <c r="I14" s="21" t="s">
        <v>71</v>
      </c>
      <c r="J14" s="21">
        <v>75</v>
      </c>
      <c r="K14" s="21" t="s">
        <v>39</v>
      </c>
      <c r="L14" s="21">
        <v>19</v>
      </c>
      <c r="M14" s="21">
        <v>4</v>
      </c>
      <c r="N14" s="21">
        <v>9</v>
      </c>
      <c r="O14" s="21">
        <v>10.6</v>
      </c>
      <c r="P14" s="21">
        <v>1.1499999999999999</v>
      </c>
      <c r="Q14" s="21">
        <v>0.34</v>
      </c>
      <c r="R14" s="21">
        <v>50</v>
      </c>
      <c r="S14" s="21" t="s">
        <v>82</v>
      </c>
      <c r="T14" s="25">
        <v>26.76</v>
      </c>
      <c r="U14" s="25">
        <v>25.63</v>
      </c>
      <c r="V14" s="25" t="s">
        <v>36</v>
      </c>
      <c r="W14" s="25">
        <v>26.08</v>
      </c>
      <c r="X14" s="25">
        <v>25.66</v>
      </c>
      <c r="Y14" s="25">
        <v>25.56</v>
      </c>
      <c r="Z14" s="25">
        <v>28.04</v>
      </c>
      <c r="AA14" s="25">
        <v>25.63</v>
      </c>
      <c r="AB14" s="25">
        <v>24.33</v>
      </c>
      <c r="AC14" s="25">
        <v>25.73</v>
      </c>
      <c r="AD14" s="25">
        <v>35.32</v>
      </c>
      <c r="AE14" s="25">
        <v>27.14</v>
      </c>
      <c r="AF14" s="25">
        <v>30.54</v>
      </c>
      <c r="AG14" s="25">
        <v>24.75</v>
      </c>
      <c r="AH14" s="25">
        <v>28.42</v>
      </c>
      <c r="AI14" s="25">
        <v>24.7</v>
      </c>
      <c r="AJ14" s="25">
        <v>30.59</v>
      </c>
      <c r="AK14" s="25">
        <v>24.93</v>
      </c>
      <c r="AL14" s="25">
        <v>33.119999999999997</v>
      </c>
      <c r="AM14" s="25">
        <v>24.76</v>
      </c>
      <c r="AN14" s="46"/>
      <c r="AO14" s="27">
        <f t="shared" si="0"/>
        <v>1.1300000000000026</v>
      </c>
      <c r="AP14" s="27">
        <f t="shared" si="1"/>
        <v>0.10000000000000142</v>
      </c>
      <c r="AQ14" s="27">
        <f t="shared" si="2"/>
        <v>2.41</v>
      </c>
      <c r="AR14" s="27">
        <f t="shared" si="3"/>
        <v>-1.4000000000000021</v>
      </c>
      <c r="AS14" s="27">
        <f t="shared" si="4"/>
        <v>8.18</v>
      </c>
      <c r="AT14" s="27">
        <f t="shared" si="5"/>
        <v>5.7899999999999991</v>
      </c>
      <c r="AU14" s="27">
        <f t="shared" si="6"/>
        <v>3.7200000000000024</v>
      </c>
      <c r="AV14" s="27">
        <f t="shared" si="7"/>
        <v>5.66</v>
      </c>
      <c r="AW14" s="27">
        <f t="shared" si="8"/>
        <v>8.3599999999999959</v>
      </c>
      <c r="AY14" s="17">
        <v>0.42756214984588498</v>
      </c>
      <c r="AZ14"/>
    </row>
    <row r="15" spans="1:53" s="26" customFormat="1" ht="15" customHeight="1">
      <c r="A15" s="21" t="s">
        <v>30</v>
      </c>
      <c r="B15" s="21"/>
      <c r="C15" s="21">
        <v>4</v>
      </c>
      <c r="D15" s="21" t="s">
        <v>83</v>
      </c>
      <c r="E15" s="22"/>
      <c r="F15" s="21" t="s">
        <v>84</v>
      </c>
      <c r="G15" s="23" t="s">
        <v>85</v>
      </c>
      <c r="H15" s="23" t="s">
        <v>86</v>
      </c>
      <c r="I15" s="21" t="s">
        <v>71</v>
      </c>
      <c r="J15" s="21">
        <v>75</v>
      </c>
      <c r="K15" s="21" t="s">
        <v>39</v>
      </c>
      <c r="L15" s="21">
        <v>17</v>
      </c>
      <c r="M15" s="21">
        <v>5</v>
      </c>
      <c r="N15" s="21">
        <v>0</v>
      </c>
      <c r="O15" s="21">
        <v>11.9</v>
      </c>
      <c r="P15" s="21">
        <v>1.21</v>
      </c>
      <c r="Q15" s="21">
        <v>0.38</v>
      </c>
      <c r="R15" s="21">
        <v>50</v>
      </c>
      <c r="S15" s="21" t="s">
        <v>87</v>
      </c>
      <c r="T15" s="25">
        <v>23.36</v>
      </c>
      <c r="U15" s="25">
        <v>27.37</v>
      </c>
      <c r="V15" s="25" t="s">
        <v>36</v>
      </c>
      <c r="W15" s="25">
        <v>27.66</v>
      </c>
      <c r="X15" s="25">
        <v>22.91</v>
      </c>
      <c r="Y15" s="25">
        <v>27.35</v>
      </c>
      <c r="Z15" s="25">
        <v>28.23</v>
      </c>
      <c r="AA15" s="25">
        <v>27.1</v>
      </c>
      <c r="AB15" s="25">
        <v>25.06</v>
      </c>
      <c r="AC15" s="25">
        <v>27.4</v>
      </c>
      <c r="AD15" s="25">
        <v>32.93</v>
      </c>
      <c r="AE15" s="25">
        <v>28.94</v>
      </c>
      <c r="AF15" s="25">
        <v>26.03</v>
      </c>
      <c r="AG15" s="25">
        <v>25.97</v>
      </c>
      <c r="AH15" s="25">
        <v>28.33</v>
      </c>
      <c r="AI15" s="25">
        <v>26.17</v>
      </c>
      <c r="AJ15" s="25">
        <v>26.44</v>
      </c>
      <c r="AK15" s="25">
        <v>25.66</v>
      </c>
      <c r="AL15" s="25">
        <v>28.74</v>
      </c>
      <c r="AM15" s="25">
        <v>26</v>
      </c>
      <c r="AN15" s="46"/>
      <c r="AO15" s="27">
        <f t="shared" si="0"/>
        <v>-4.0100000000000016</v>
      </c>
      <c r="AP15" s="27">
        <f t="shared" si="1"/>
        <v>-4.4400000000000013</v>
      </c>
      <c r="AQ15" s="27">
        <f t="shared" si="2"/>
        <v>1.129999999999999</v>
      </c>
      <c r="AR15" s="27">
        <f t="shared" si="3"/>
        <v>-2.34</v>
      </c>
      <c r="AS15" s="27">
        <f t="shared" si="4"/>
        <v>3.9899999999999984</v>
      </c>
      <c r="AT15" s="27">
        <f t="shared" si="5"/>
        <v>6.0000000000002274E-2</v>
      </c>
      <c r="AU15" s="27">
        <f t="shared" si="6"/>
        <v>2.1599999999999966</v>
      </c>
      <c r="AV15" s="27">
        <f t="shared" si="7"/>
        <v>0.78000000000000114</v>
      </c>
      <c r="AW15" s="27">
        <f t="shared" si="8"/>
        <v>2.7399999999999984</v>
      </c>
      <c r="AY15" s="17">
        <v>0.95122490146959504</v>
      </c>
      <c r="AZ15"/>
    </row>
    <row r="16" spans="1:53" s="26" customFormat="1" ht="15" customHeight="1">
      <c r="A16" s="21" t="s">
        <v>30</v>
      </c>
      <c r="B16" s="21"/>
      <c r="C16" s="21">
        <v>5</v>
      </c>
      <c r="D16" s="21" t="s">
        <v>88</v>
      </c>
      <c r="E16" s="22"/>
      <c r="F16" s="21" t="s">
        <v>89</v>
      </c>
      <c r="G16" s="23" t="s">
        <v>90</v>
      </c>
      <c r="H16" s="23" t="s">
        <v>91</v>
      </c>
      <c r="I16" s="21" t="s">
        <v>71</v>
      </c>
      <c r="J16" s="21">
        <v>77</v>
      </c>
      <c r="K16" s="21" t="s">
        <v>39</v>
      </c>
      <c r="L16" s="21">
        <v>24</v>
      </c>
      <c r="M16" s="21">
        <v>3</v>
      </c>
      <c r="N16" s="21">
        <v>0</v>
      </c>
      <c r="O16" s="21">
        <v>9.3000000000000007</v>
      </c>
      <c r="P16" s="21">
        <v>1.17</v>
      </c>
      <c r="Q16" s="21">
        <v>0.36</v>
      </c>
      <c r="R16" s="21">
        <v>50</v>
      </c>
      <c r="S16" s="21" t="s">
        <v>92</v>
      </c>
      <c r="T16" s="25">
        <v>26.83</v>
      </c>
      <c r="U16" s="25">
        <v>29.51</v>
      </c>
      <c r="V16" s="25" t="s">
        <v>36</v>
      </c>
      <c r="W16" s="25">
        <v>29.65</v>
      </c>
      <c r="X16" s="25">
        <v>25.97</v>
      </c>
      <c r="Y16" s="25">
        <v>29.4</v>
      </c>
      <c r="Z16" s="25">
        <v>29.49</v>
      </c>
      <c r="AA16" s="25">
        <v>29.07</v>
      </c>
      <c r="AB16" s="25">
        <v>23.08</v>
      </c>
      <c r="AC16" s="25">
        <v>30.78</v>
      </c>
      <c r="AD16" s="25">
        <v>33.67</v>
      </c>
      <c r="AE16" s="25">
        <v>30.63</v>
      </c>
      <c r="AF16" s="25">
        <v>28.29</v>
      </c>
      <c r="AG16" s="25">
        <v>27.75</v>
      </c>
      <c r="AH16" s="25">
        <v>27.43</v>
      </c>
      <c r="AI16" s="25">
        <v>27.79</v>
      </c>
      <c r="AJ16" s="25">
        <v>28.49</v>
      </c>
      <c r="AK16" s="25">
        <v>27.4</v>
      </c>
      <c r="AL16" s="25">
        <v>30.66</v>
      </c>
      <c r="AM16" s="25">
        <v>27.73</v>
      </c>
      <c r="AN16" s="46"/>
      <c r="AO16" s="27">
        <f t="shared" si="0"/>
        <v>-2.6800000000000033</v>
      </c>
      <c r="AP16" s="27">
        <f t="shared" si="1"/>
        <v>-3.4299999999999997</v>
      </c>
      <c r="AQ16" s="27">
        <f t="shared" si="2"/>
        <v>0.41999999999999815</v>
      </c>
      <c r="AR16" s="27">
        <f t="shared" si="3"/>
        <v>-7.7000000000000028</v>
      </c>
      <c r="AS16" s="27">
        <f t="shared" si="4"/>
        <v>3.0400000000000027</v>
      </c>
      <c r="AT16" s="27">
        <f t="shared" si="5"/>
        <v>0.53999999999999915</v>
      </c>
      <c r="AU16" s="27">
        <f t="shared" si="6"/>
        <v>-0.35999999999999943</v>
      </c>
      <c r="AV16" s="27">
        <f t="shared" si="7"/>
        <v>1.0899999999999999</v>
      </c>
      <c r="AW16" s="27">
        <f t="shared" si="8"/>
        <v>2.9299999999999997</v>
      </c>
      <c r="AY16" s="17">
        <v>0.539003228997054</v>
      </c>
      <c r="AZ16"/>
    </row>
    <row r="17" spans="1:53" s="26" customFormat="1" ht="15" customHeight="1">
      <c r="A17" s="21" t="s">
        <v>50</v>
      </c>
      <c r="B17" s="21"/>
      <c r="C17" s="21">
        <v>6</v>
      </c>
      <c r="D17" s="21" t="s">
        <v>93</v>
      </c>
      <c r="E17" s="22"/>
      <c r="F17" s="21" t="s">
        <v>94</v>
      </c>
      <c r="G17" s="21"/>
      <c r="H17" s="23" t="s">
        <v>95</v>
      </c>
      <c r="I17" s="21" t="s">
        <v>71</v>
      </c>
      <c r="J17" s="21">
        <v>73</v>
      </c>
      <c r="K17" s="21" t="s">
        <v>39</v>
      </c>
      <c r="L17" s="21"/>
      <c r="M17" s="21"/>
      <c r="N17" s="21"/>
      <c r="O17" s="21">
        <v>16.5</v>
      </c>
      <c r="P17" s="21">
        <v>1.29</v>
      </c>
      <c r="Q17" s="21">
        <v>0.4</v>
      </c>
      <c r="R17" s="21">
        <v>50</v>
      </c>
      <c r="S17" s="21" t="s">
        <v>96</v>
      </c>
      <c r="T17" s="25">
        <v>25.53</v>
      </c>
      <c r="U17" s="25">
        <v>27.32</v>
      </c>
      <c r="V17" s="25" t="s">
        <v>36</v>
      </c>
      <c r="W17" s="25">
        <v>27.37</v>
      </c>
      <c r="X17" s="25">
        <v>24.96</v>
      </c>
      <c r="Y17" s="25">
        <v>27.27</v>
      </c>
      <c r="Z17" s="25">
        <v>27.58</v>
      </c>
      <c r="AA17" s="25">
        <v>27.02</v>
      </c>
      <c r="AB17" s="25">
        <v>24.84</v>
      </c>
      <c r="AC17" s="25">
        <v>27</v>
      </c>
      <c r="AD17" s="25">
        <v>36.950000000000003</v>
      </c>
      <c r="AE17" s="25">
        <v>28.97</v>
      </c>
      <c r="AF17" s="25">
        <v>29.27</v>
      </c>
      <c r="AG17" s="25">
        <v>26.52</v>
      </c>
      <c r="AH17" s="25">
        <v>30.77</v>
      </c>
      <c r="AI17" s="25">
        <v>26.4</v>
      </c>
      <c r="AJ17" s="25">
        <v>29.37</v>
      </c>
      <c r="AK17" s="25">
        <v>26.3</v>
      </c>
      <c r="AL17" s="25">
        <v>32.35</v>
      </c>
      <c r="AM17" s="25">
        <v>26.44</v>
      </c>
      <c r="AN17" s="46"/>
      <c r="AO17" s="27">
        <f t="shared" si="0"/>
        <v>-1.7899999999999991</v>
      </c>
      <c r="AP17" s="27">
        <f t="shared" si="1"/>
        <v>-2.3099999999999987</v>
      </c>
      <c r="AQ17" s="27">
        <f t="shared" si="2"/>
        <v>0.55999999999999872</v>
      </c>
      <c r="AR17" s="27">
        <f t="shared" si="3"/>
        <v>-2.16</v>
      </c>
      <c r="AS17" s="27">
        <f t="shared" si="4"/>
        <v>7.980000000000004</v>
      </c>
      <c r="AT17" s="27">
        <f t="shared" si="5"/>
        <v>2.75</v>
      </c>
      <c r="AU17" s="27">
        <f t="shared" si="6"/>
        <v>4.370000000000001</v>
      </c>
      <c r="AV17" s="27">
        <f t="shared" si="7"/>
        <v>3.0700000000000003</v>
      </c>
      <c r="AW17" s="27">
        <f t="shared" si="8"/>
        <v>5.91</v>
      </c>
      <c r="AY17" s="17">
        <v>0.88187381247021401</v>
      </c>
      <c r="AZ17"/>
    </row>
    <row r="18" spans="1:53" s="26" customFormat="1" ht="15" customHeight="1">
      <c r="A18" s="21" t="s">
        <v>50</v>
      </c>
      <c r="B18" s="21"/>
      <c r="C18" s="21">
        <v>7</v>
      </c>
      <c r="D18" s="21" t="s">
        <v>97</v>
      </c>
      <c r="E18" s="22"/>
      <c r="F18" s="21" t="s">
        <v>98</v>
      </c>
      <c r="G18" s="21"/>
      <c r="H18" s="23" t="s">
        <v>99</v>
      </c>
      <c r="I18" s="21" t="s">
        <v>71</v>
      </c>
      <c r="J18" s="21">
        <v>73</v>
      </c>
      <c r="K18" s="21" t="s">
        <v>39</v>
      </c>
      <c r="L18" s="21"/>
      <c r="M18" s="21"/>
      <c r="N18" s="21"/>
      <c r="O18" s="21">
        <v>18.399999999999999</v>
      </c>
      <c r="P18" s="21">
        <v>1.26</v>
      </c>
      <c r="Q18" s="21">
        <v>0.37</v>
      </c>
      <c r="R18" s="21">
        <v>50</v>
      </c>
      <c r="S18" s="21" t="s">
        <v>100</v>
      </c>
      <c r="T18" s="25">
        <v>27.5</v>
      </c>
      <c r="U18" s="25">
        <v>27.64</v>
      </c>
      <c r="V18" s="25" t="s">
        <v>36</v>
      </c>
      <c r="W18" s="25">
        <v>27.62</v>
      </c>
      <c r="X18" s="25">
        <v>26.96</v>
      </c>
      <c r="Y18" s="25">
        <v>27.66</v>
      </c>
      <c r="Z18" s="25">
        <v>25.99</v>
      </c>
      <c r="AA18" s="25">
        <v>26.98</v>
      </c>
      <c r="AB18" s="25">
        <v>24.7</v>
      </c>
      <c r="AC18" s="25">
        <v>27.14</v>
      </c>
      <c r="AD18" s="25">
        <v>33.049999999999997</v>
      </c>
      <c r="AE18" s="25">
        <v>29.54</v>
      </c>
      <c r="AF18" s="25">
        <v>31.69</v>
      </c>
      <c r="AG18" s="25">
        <v>26.85</v>
      </c>
      <c r="AH18" s="25">
        <v>30.7</v>
      </c>
      <c r="AI18" s="25">
        <v>26.65</v>
      </c>
      <c r="AJ18" s="25">
        <v>31.78</v>
      </c>
      <c r="AK18" s="25">
        <v>26.78</v>
      </c>
      <c r="AL18" s="25">
        <v>34.28</v>
      </c>
      <c r="AM18" s="25">
        <v>26.79</v>
      </c>
      <c r="AN18" s="46"/>
      <c r="AO18" s="27">
        <f t="shared" si="0"/>
        <v>-0.14000000000000057</v>
      </c>
      <c r="AP18" s="27">
        <f t="shared" si="1"/>
        <v>-0.69999999999999929</v>
      </c>
      <c r="AQ18" s="27">
        <f t="shared" si="2"/>
        <v>-0.99000000000000199</v>
      </c>
      <c r="AR18" s="27">
        <f t="shared" si="3"/>
        <v>-2.4400000000000013</v>
      </c>
      <c r="AS18" s="27">
        <f t="shared" si="4"/>
        <v>3.509999999999998</v>
      </c>
      <c r="AT18" s="27">
        <f t="shared" si="5"/>
        <v>4.84</v>
      </c>
      <c r="AU18" s="27">
        <f t="shared" si="6"/>
        <v>4.0500000000000007</v>
      </c>
      <c r="AV18" s="27">
        <f t="shared" si="7"/>
        <v>5</v>
      </c>
      <c r="AW18" s="27">
        <f t="shared" si="8"/>
        <v>7.490000000000002</v>
      </c>
      <c r="AY18" s="17">
        <v>0.84575318938217403</v>
      </c>
      <c r="AZ18"/>
    </row>
    <row r="19" spans="1:53" s="26" customFormat="1" ht="15" customHeight="1">
      <c r="A19" s="21" t="s">
        <v>50</v>
      </c>
      <c r="B19" s="21"/>
      <c r="C19" s="21">
        <v>8</v>
      </c>
      <c r="D19" s="21" t="s">
        <v>101</v>
      </c>
      <c r="E19" s="22"/>
      <c r="F19" s="21" t="s">
        <v>102</v>
      </c>
      <c r="G19" s="21"/>
      <c r="H19" s="23" t="s">
        <v>103</v>
      </c>
      <c r="I19" s="21" t="s">
        <v>71</v>
      </c>
      <c r="J19" s="21">
        <v>76</v>
      </c>
      <c r="K19" s="21" t="s">
        <v>39</v>
      </c>
      <c r="L19" s="21"/>
      <c r="M19" s="21"/>
      <c r="N19" s="21"/>
      <c r="O19" s="21">
        <v>16.600000000000001</v>
      </c>
      <c r="P19" s="21">
        <v>1.3</v>
      </c>
      <c r="Q19" s="21">
        <v>0.39</v>
      </c>
      <c r="R19" s="21">
        <v>50</v>
      </c>
      <c r="S19" s="21" t="s">
        <v>104</v>
      </c>
      <c r="T19" s="25">
        <v>25.65</v>
      </c>
      <c r="U19" s="25">
        <v>28.16</v>
      </c>
      <c r="V19" s="25" t="s">
        <v>36</v>
      </c>
      <c r="W19" s="25">
        <v>28.04</v>
      </c>
      <c r="X19" s="25">
        <v>24.86</v>
      </c>
      <c r="Y19" s="25">
        <v>28</v>
      </c>
      <c r="Z19" s="25">
        <v>26.75</v>
      </c>
      <c r="AA19" s="25">
        <v>27.66</v>
      </c>
      <c r="AB19" s="25">
        <v>23.83</v>
      </c>
      <c r="AC19" s="25">
        <v>27.67</v>
      </c>
      <c r="AD19" s="25">
        <v>35.35</v>
      </c>
      <c r="AE19" s="25">
        <v>29.82</v>
      </c>
      <c r="AF19" s="25">
        <v>28.99</v>
      </c>
      <c r="AG19" s="25">
        <v>27.17</v>
      </c>
      <c r="AH19" s="25">
        <v>29.15</v>
      </c>
      <c r="AI19" s="25">
        <v>27.01</v>
      </c>
      <c r="AJ19" s="25">
        <v>29.03</v>
      </c>
      <c r="AK19" s="25">
        <v>26.77</v>
      </c>
      <c r="AL19" s="25">
        <v>31.87</v>
      </c>
      <c r="AM19" s="25">
        <v>26.95</v>
      </c>
      <c r="AN19" s="46"/>
      <c r="AO19" s="27">
        <f t="shared" si="0"/>
        <v>-2.5100000000000016</v>
      </c>
      <c r="AP19" s="27">
        <f t="shared" si="1"/>
        <v>-3.1400000000000006</v>
      </c>
      <c r="AQ19" s="27">
        <f t="shared" si="2"/>
        <v>-0.91000000000000014</v>
      </c>
      <c r="AR19" s="27">
        <f t="shared" si="3"/>
        <v>-3.8400000000000034</v>
      </c>
      <c r="AS19" s="27">
        <f t="shared" si="4"/>
        <v>5.5300000000000011</v>
      </c>
      <c r="AT19" s="27">
        <f t="shared" si="5"/>
        <v>1.8199999999999967</v>
      </c>
      <c r="AU19" s="27">
        <f t="shared" si="6"/>
        <v>2.139999999999997</v>
      </c>
      <c r="AV19" s="27">
        <f t="shared" si="7"/>
        <v>2.2600000000000016</v>
      </c>
      <c r="AW19" s="27">
        <f t="shared" si="8"/>
        <v>4.9200000000000017</v>
      </c>
      <c r="AY19" s="17">
        <v>0.92429690356120298</v>
      </c>
      <c r="AZ19"/>
    </row>
    <row r="20" spans="1:53" s="26" customFormat="1" ht="15" customHeight="1">
      <c r="A20" s="21" t="s">
        <v>50</v>
      </c>
      <c r="B20" s="21"/>
      <c r="C20" s="21">
        <v>9</v>
      </c>
      <c r="D20" s="21" t="s">
        <v>105</v>
      </c>
      <c r="E20" s="22"/>
      <c r="F20" s="21" t="s">
        <v>106</v>
      </c>
      <c r="G20" s="21"/>
      <c r="H20" s="23" t="s">
        <v>107</v>
      </c>
      <c r="I20" s="21" t="s">
        <v>71</v>
      </c>
      <c r="J20" s="21">
        <v>78</v>
      </c>
      <c r="K20" s="21" t="s">
        <v>39</v>
      </c>
      <c r="L20" s="21"/>
      <c r="M20" s="21"/>
      <c r="N20" s="21"/>
      <c r="O20" s="21">
        <v>24</v>
      </c>
      <c r="P20" s="21">
        <v>1.33</v>
      </c>
      <c r="Q20" s="21">
        <v>0.42</v>
      </c>
      <c r="R20" s="21">
        <v>50</v>
      </c>
      <c r="S20" s="21" t="s">
        <v>108</v>
      </c>
      <c r="T20" s="25">
        <v>26.83</v>
      </c>
      <c r="U20" s="25">
        <v>26.48</v>
      </c>
      <c r="V20" s="25" t="s">
        <v>36</v>
      </c>
      <c r="W20" s="25">
        <v>26.54</v>
      </c>
      <c r="X20" s="25">
        <v>26.13</v>
      </c>
      <c r="Y20" s="25">
        <v>26.44</v>
      </c>
      <c r="Z20" s="25">
        <v>26.89</v>
      </c>
      <c r="AA20" s="25">
        <v>26</v>
      </c>
      <c r="AB20" s="25">
        <v>25.25</v>
      </c>
      <c r="AC20" s="25">
        <v>26.27</v>
      </c>
      <c r="AD20" s="25">
        <v>39.75</v>
      </c>
      <c r="AE20" s="25">
        <v>28.26</v>
      </c>
      <c r="AF20" s="25">
        <v>32.61</v>
      </c>
      <c r="AG20" s="25">
        <v>25.96</v>
      </c>
      <c r="AH20" s="25">
        <v>34.14</v>
      </c>
      <c r="AI20" s="25">
        <v>25.88</v>
      </c>
      <c r="AJ20" s="25">
        <v>32.35</v>
      </c>
      <c r="AK20" s="25">
        <v>26.01</v>
      </c>
      <c r="AL20" s="25">
        <v>36.18</v>
      </c>
      <c r="AM20" s="25">
        <v>25.94</v>
      </c>
      <c r="AN20" s="46"/>
      <c r="AO20" s="27">
        <f t="shared" si="0"/>
        <v>0.34999999999999787</v>
      </c>
      <c r="AP20" s="27">
        <f t="shared" si="1"/>
        <v>-0.31000000000000227</v>
      </c>
      <c r="AQ20" s="27">
        <f t="shared" si="2"/>
        <v>0.89000000000000057</v>
      </c>
      <c r="AR20" s="27">
        <f t="shared" si="3"/>
        <v>-1.0199999999999996</v>
      </c>
      <c r="AS20" s="27">
        <f t="shared" si="4"/>
        <v>11.489999999999998</v>
      </c>
      <c r="AT20" s="27">
        <f t="shared" si="5"/>
        <v>6.6499999999999986</v>
      </c>
      <c r="AU20" s="27">
        <f t="shared" si="6"/>
        <v>8.2600000000000016</v>
      </c>
      <c r="AV20" s="27">
        <f t="shared" si="7"/>
        <v>6.34</v>
      </c>
      <c r="AW20" s="27">
        <f t="shared" si="8"/>
        <v>10.239999999999998</v>
      </c>
      <c r="AY20" s="17">
        <v>0.745210080492685</v>
      </c>
      <c r="AZ20"/>
    </row>
    <row r="21" spans="1:53" s="26" customFormat="1" ht="15" customHeight="1">
      <c r="A21" s="21" t="s">
        <v>50</v>
      </c>
      <c r="B21" s="21"/>
      <c r="C21" s="21">
        <v>10</v>
      </c>
      <c r="D21" s="21" t="s">
        <v>109</v>
      </c>
      <c r="E21" s="22"/>
      <c r="F21" s="21" t="s">
        <v>110</v>
      </c>
      <c r="G21" s="21"/>
      <c r="H21" s="23" t="s">
        <v>111</v>
      </c>
      <c r="I21" s="21" t="s">
        <v>71</v>
      </c>
      <c r="J21" s="21">
        <v>78</v>
      </c>
      <c r="K21" s="21" t="s">
        <v>39</v>
      </c>
      <c r="L21" s="21"/>
      <c r="M21" s="21"/>
      <c r="N21" s="21"/>
      <c r="O21" s="21">
        <v>18.399999999999999</v>
      </c>
      <c r="P21" s="21">
        <v>1.31</v>
      </c>
      <c r="Q21" s="21">
        <v>0.4</v>
      </c>
      <c r="R21" s="21">
        <v>50</v>
      </c>
      <c r="S21" s="21" t="s">
        <v>112</v>
      </c>
      <c r="T21" s="25">
        <v>24.33</v>
      </c>
      <c r="U21" s="25">
        <v>27.25</v>
      </c>
      <c r="V21" s="25" t="s">
        <v>36</v>
      </c>
      <c r="W21" s="25">
        <v>27.11</v>
      </c>
      <c r="X21" s="25">
        <v>23.9</v>
      </c>
      <c r="Y21" s="25">
        <v>27.07</v>
      </c>
      <c r="Z21" s="25">
        <v>26.38</v>
      </c>
      <c r="AA21" s="25">
        <v>26.7</v>
      </c>
      <c r="AB21" s="25">
        <v>24.46</v>
      </c>
      <c r="AC21" s="25">
        <v>27.03</v>
      </c>
      <c r="AD21" s="25">
        <v>36.08</v>
      </c>
      <c r="AE21" s="25">
        <v>28.85</v>
      </c>
      <c r="AF21" s="25">
        <v>28.86</v>
      </c>
      <c r="AG21" s="25">
        <v>26.31</v>
      </c>
      <c r="AH21" s="25">
        <v>31.78</v>
      </c>
      <c r="AI21" s="25">
        <v>26.37</v>
      </c>
      <c r="AJ21" s="25">
        <v>28.87</v>
      </c>
      <c r="AK21" s="25">
        <v>26.06</v>
      </c>
      <c r="AL21" s="25">
        <v>32.119999999999997</v>
      </c>
      <c r="AM21" s="25">
        <v>26.26</v>
      </c>
      <c r="AN21" s="46"/>
      <c r="AO21" s="27">
        <f t="shared" si="0"/>
        <v>-2.9200000000000017</v>
      </c>
      <c r="AP21" s="27">
        <f t="shared" si="1"/>
        <v>-3.1700000000000017</v>
      </c>
      <c r="AQ21" s="27">
        <f t="shared" si="2"/>
        <v>-0.32000000000000028</v>
      </c>
      <c r="AR21" s="27">
        <f t="shared" si="3"/>
        <v>-2.5700000000000003</v>
      </c>
      <c r="AS21" s="27">
        <f t="shared" si="4"/>
        <v>7.2299999999999969</v>
      </c>
      <c r="AT21" s="27">
        <f t="shared" si="5"/>
        <v>2.5500000000000007</v>
      </c>
      <c r="AU21" s="27">
        <f t="shared" si="6"/>
        <v>5.41</v>
      </c>
      <c r="AV21" s="27">
        <f t="shared" si="7"/>
        <v>2.8100000000000023</v>
      </c>
      <c r="AW21" s="27">
        <f t="shared" si="8"/>
        <v>5.8599999999999959</v>
      </c>
      <c r="AY21" s="17">
        <v>0.94858187885696899</v>
      </c>
      <c r="AZ21"/>
    </row>
    <row r="22" spans="1:53" s="31" customFormat="1" ht="15" customHeight="1">
      <c r="A22" s="28" t="s">
        <v>54</v>
      </c>
      <c r="B22" s="28"/>
      <c r="C22" s="28">
        <v>21</v>
      </c>
      <c r="D22" s="28" t="s">
        <v>113</v>
      </c>
      <c r="E22" s="29"/>
      <c r="F22" s="28"/>
      <c r="G22" s="28"/>
      <c r="H22" s="28" t="s">
        <v>114</v>
      </c>
      <c r="I22" s="28" t="s">
        <v>115</v>
      </c>
      <c r="J22" s="28">
        <v>82</v>
      </c>
      <c r="K22" s="28" t="s">
        <v>116</v>
      </c>
      <c r="L22" s="28"/>
      <c r="M22" s="28"/>
      <c r="N22" s="28"/>
      <c r="O22" s="28">
        <v>13.7</v>
      </c>
      <c r="P22" s="28">
        <v>1.23</v>
      </c>
      <c r="Q22" s="28">
        <v>0.36</v>
      </c>
      <c r="R22" s="28">
        <v>50</v>
      </c>
      <c r="S22" s="28" t="s">
        <v>117</v>
      </c>
      <c r="T22" s="30">
        <v>25.55</v>
      </c>
      <c r="U22" s="30">
        <v>25.68</v>
      </c>
      <c r="V22" s="30" t="s">
        <v>36</v>
      </c>
      <c r="W22" s="30">
        <v>25.64</v>
      </c>
      <c r="X22" s="30">
        <v>24.76</v>
      </c>
      <c r="Y22" s="30">
        <v>25.6</v>
      </c>
      <c r="Z22" s="30">
        <v>27.2</v>
      </c>
      <c r="AA22" s="30">
        <v>25.35</v>
      </c>
      <c r="AB22" s="30">
        <v>23.51</v>
      </c>
      <c r="AC22" s="30">
        <v>25.18</v>
      </c>
      <c r="AD22" s="30">
        <v>34.1</v>
      </c>
      <c r="AE22" s="30">
        <v>27.24</v>
      </c>
      <c r="AF22" s="30">
        <v>31.18</v>
      </c>
      <c r="AG22" s="30">
        <v>25.05</v>
      </c>
      <c r="AH22" s="30">
        <v>33.6</v>
      </c>
      <c r="AI22" s="30">
        <v>25.05</v>
      </c>
      <c r="AJ22" s="30">
        <v>31.28</v>
      </c>
      <c r="AK22" s="30">
        <v>25.17</v>
      </c>
      <c r="AL22" s="30">
        <v>34.35</v>
      </c>
      <c r="AM22" s="30">
        <v>25.06</v>
      </c>
      <c r="AN22" s="47"/>
      <c r="AO22" s="32">
        <f t="shared" si="0"/>
        <v>-0.12999999999999901</v>
      </c>
      <c r="AP22" s="32">
        <f t="shared" si="1"/>
        <v>-0.83999999999999986</v>
      </c>
      <c r="AQ22" s="32">
        <f t="shared" si="2"/>
        <v>1.8499999999999979</v>
      </c>
      <c r="AR22" s="32">
        <f t="shared" si="3"/>
        <v>-1.6699999999999982</v>
      </c>
      <c r="AS22" s="32">
        <f t="shared" si="4"/>
        <v>6.860000000000003</v>
      </c>
      <c r="AT22" s="32">
        <f t="shared" si="5"/>
        <v>6.129999999999999</v>
      </c>
      <c r="AU22" s="32">
        <f t="shared" si="6"/>
        <v>8.5500000000000007</v>
      </c>
      <c r="AV22" s="32">
        <f t="shared" si="7"/>
        <v>6.1099999999999994</v>
      </c>
      <c r="AW22" s="32">
        <f t="shared" si="8"/>
        <v>9.2900000000000027</v>
      </c>
      <c r="AY22" s="17">
        <v>0.63924074109222495</v>
      </c>
      <c r="BA22"/>
    </row>
    <row r="23" spans="1:53" s="31" customFormat="1" ht="15" customHeight="1">
      <c r="A23" s="28" t="s">
        <v>54</v>
      </c>
      <c r="B23" s="28"/>
      <c r="C23" s="28">
        <v>22</v>
      </c>
      <c r="D23" s="28" t="s">
        <v>118</v>
      </c>
      <c r="E23" s="29"/>
      <c r="F23" s="28"/>
      <c r="G23" s="28"/>
      <c r="H23" s="28" t="s">
        <v>119</v>
      </c>
      <c r="I23" s="28" t="s">
        <v>120</v>
      </c>
      <c r="J23" s="28">
        <v>62</v>
      </c>
      <c r="K23" s="28" t="s">
        <v>121</v>
      </c>
      <c r="L23" s="28"/>
      <c r="M23" s="28"/>
      <c r="N23" s="28"/>
      <c r="O23" s="28">
        <v>17.899999999999999</v>
      </c>
      <c r="P23" s="28">
        <v>1.25</v>
      </c>
      <c r="Q23" s="28">
        <v>0.38</v>
      </c>
      <c r="R23" s="28">
        <v>50</v>
      </c>
      <c r="S23" s="28" t="s">
        <v>122</v>
      </c>
      <c r="T23" s="30">
        <v>29.37</v>
      </c>
      <c r="U23" s="30">
        <v>27.21</v>
      </c>
      <c r="V23" s="30" t="s">
        <v>36</v>
      </c>
      <c r="W23" s="30">
        <v>27.19</v>
      </c>
      <c r="X23" s="30">
        <v>27.58</v>
      </c>
      <c r="Y23" s="30">
        <v>27.24</v>
      </c>
      <c r="Z23" s="30">
        <v>30.51</v>
      </c>
      <c r="AA23" s="30">
        <v>26.97</v>
      </c>
      <c r="AB23" s="30">
        <v>25.25</v>
      </c>
      <c r="AC23" s="30">
        <v>26.78</v>
      </c>
      <c r="AD23" s="30">
        <v>40</v>
      </c>
      <c r="AE23" s="30">
        <v>28.91</v>
      </c>
      <c r="AF23" s="30">
        <v>36.26</v>
      </c>
      <c r="AG23" s="30">
        <v>26.71</v>
      </c>
      <c r="AH23" s="30">
        <v>36.369999999999997</v>
      </c>
      <c r="AI23" s="30">
        <v>26.49</v>
      </c>
      <c r="AJ23" s="30">
        <v>34.47</v>
      </c>
      <c r="AK23" s="30">
        <v>26.69</v>
      </c>
      <c r="AL23" s="30">
        <v>39.26</v>
      </c>
      <c r="AM23" s="30">
        <v>26.62</v>
      </c>
      <c r="AN23" s="47"/>
      <c r="AO23" s="32">
        <f t="shared" si="0"/>
        <v>2.16</v>
      </c>
      <c r="AP23" s="32">
        <f t="shared" si="1"/>
        <v>0.33999999999999986</v>
      </c>
      <c r="AQ23" s="32">
        <f t="shared" si="2"/>
        <v>3.5400000000000027</v>
      </c>
      <c r="AR23" s="32">
        <f t="shared" si="3"/>
        <v>-1.5300000000000011</v>
      </c>
      <c r="AS23" s="32">
        <f t="shared" si="4"/>
        <v>11.09</v>
      </c>
      <c r="AT23" s="32">
        <f t="shared" si="5"/>
        <v>9.5499999999999972</v>
      </c>
      <c r="AU23" s="32">
        <f t="shared" si="6"/>
        <v>9.879999999999999</v>
      </c>
      <c r="AV23" s="32">
        <f t="shared" si="7"/>
        <v>7.7799999999999976</v>
      </c>
      <c r="AW23" s="32">
        <f t="shared" si="8"/>
        <v>12.639999999999997</v>
      </c>
      <c r="AY23" s="17">
        <v>0.20297281586539101</v>
      </c>
      <c r="BA23"/>
    </row>
    <row r="24" spans="1:53" s="31" customFormat="1" ht="15" customHeight="1">
      <c r="A24" s="28" t="s">
        <v>54</v>
      </c>
      <c r="B24" s="28"/>
      <c r="C24" s="28">
        <v>23</v>
      </c>
      <c r="D24" s="28" t="s">
        <v>123</v>
      </c>
      <c r="E24" s="29"/>
      <c r="F24" s="28"/>
      <c r="G24" s="28"/>
      <c r="H24" s="28" t="s">
        <v>124</v>
      </c>
      <c r="I24" s="28" t="s">
        <v>115</v>
      </c>
      <c r="J24" s="28">
        <v>68</v>
      </c>
      <c r="K24" s="28" t="s">
        <v>121</v>
      </c>
      <c r="L24" s="28"/>
      <c r="M24" s="28"/>
      <c r="N24" s="28"/>
      <c r="O24" s="28">
        <v>17.600000000000001</v>
      </c>
      <c r="P24" s="28">
        <v>1.25</v>
      </c>
      <c r="Q24" s="28">
        <v>0.38</v>
      </c>
      <c r="R24" s="28">
        <v>50</v>
      </c>
      <c r="S24" s="28" t="s">
        <v>125</v>
      </c>
      <c r="T24" s="30">
        <v>27.1</v>
      </c>
      <c r="U24" s="30">
        <v>27.07</v>
      </c>
      <c r="V24" s="30" t="s">
        <v>36</v>
      </c>
      <c r="W24" s="30">
        <v>26.96</v>
      </c>
      <c r="X24" s="30">
        <v>25.91</v>
      </c>
      <c r="Y24" s="30">
        <v>26.92</v>
      </c>
      <c r="Z24" s="30">
        <v>27.78</v>
      </c>
      <c r="AA24" s="30">
        <v>26.57</v>
      </c>
      <c r="AB24" s="30">
        <v>24.36</v>
      </c>
      <c r="AC24" s="30">
        <v>26.42</v>
      </c>
      <c r="AD24" s="30">
        <v>40</v>
      </c>
      <c r="AE24" s="30">
        <v>28.86</v>
      </c>
      <c r="AF24" s="30">
        <v>34.08</v>
      </c>
      <c r="AG24" s="30">
        <v>26.64</v>
      </c>
      <c r="AH24" s="30">
        <v>34.53</v>
      </c>
      <c r="AI24" s="30">
        <v>26.52</v>
      </c>
      <c r="AJ24" s="30">
        <v>33.17</v>
      </c>
      <c r="AK24" s="30">
        <v>26.62</v>
      </c>
      <c r="AL24" s="30">
        <v>37.82</v>
      </c>
      <c r="AM24" s="30">
        <v>26.64</v>
      </c>
      <c r="AN24" s="47"/>
      <c r="AO24" s="32">
        <f t="shared" si="0"/>
        <v>3.0000000000001137E-2</v>
      </c>
      <c r="AP24" s="32">
        <f t="shared" si="1"/>
        <v>-1.0100000000000016</v>
      </c>
      <c r="AQ24" s="32">
        <f t="shared" si="2"/>
        <v>1.2100000000000009</v>
      </c>
      <c r="AR24" s="32">
        <f t="shared" si="3"/>
        <v>-2.0600000000000023</v>
      </c>
      <c r="AS24" s="32">
        <f t="shared" si="4"/>
        <v>11.14</v>
      </c>
      <c r="AT24" s="32">
        <f t="shared" si="5"/>
        <v>7.4399999999999977</v>
      </c>
      <c r="AU24" s="32">
        <f t="shared" si="6"/>
        <v>8.0100000000000016</v>
      </c>
      <c r="AV24" s="32">
        <f t="shared" si="7"/>
        <v>6.5500000000000007</v>
      </c>
      <c r="AW24" s="32">
        <f t="shared" si="8"/>
        <v>11.18</v>
      </c>
      <c r="AY24" s="17">
        <v>0.67498086744355101</v>
      </c>
      <c r="BA24"/>
    </row>
    <row r="25" spans="1:53" s="31" customFormat="1" ht="15" customHeight="1">
      <c r="A25" s="28" t="s">
        <v>54</v>
      </c>
      <c r="B25" s="28"/>
      <c r="C25" s="28">
        <v>24</v>
      </c>
      <c r="D25" s="28" t="s">
        <v>126</v>
      </c>
      <c r="E25" s="29"/>
      <c r="F25" s="28"/>
      <c r="G25" s="28"/>
      <c r="H25" s="28" t="s">
        <v>127</v>
      </c>
      <c r="I25" s="28" t="s">
        <v>120</v>
      </c>
      <c r="J25" s="28">
        <v>74</v>
      </c>
      <c r="K25" s="28" t="s">
        <v>121</v>
      </c>
      <c r="L25" s="28"/>
      <c r="M25" s="28"/>
      <c r="N25" s="28"/>
      <c r="O25" s="28">
        <v>16.399999999999999</v>
      </c>
      <c r="P25" s="28">
        <v>1.22</v>
      </c>
      <c r="Q25" s="28">
        <v>0.36</v>
      </c>
      <c r="R25" s="28">
        <v>50</v>
      </c>
      <c r="S25" s="28" t="s">
        <v>128</v>
      </c>
      <c r="T25" s="30">
        <v>28.04</v>
      </c>
      <c r="U25" s="30">
        <v>26.92</v>
      </c>
      <c r="V25" s="30" t="s">
        <v>36</v>
      </c>
      <c r="W25" s="30">
        <v>27</v>
      </c>
      <c r="X25" s="30">
        <v>26.75</v>
      </c>
      <c r="Y25" s="30">
        <v>26.92</v>
      </c>
      <c r="Z25" s="30">
        <v>28.14</v>
      </c>
      <c r="AA25" s="30">
        <v>26.52</v>
      </c>
      <c r="AB25" s="30">
        <v>23.82</v>
      </c>
      <c r="AC25" s="30">
        <v>26.36</v>
      </c>
      <c r="AD25" s="30">
        <v>40</v>
      </c>
      <c r="AE25" s="30">
        <v>29.51</v>
      </c>
      <c r="AF25" s="30">
        <v>36.26</v>
      </c>
      <c r="AG25" s="30">
        <v>27.02</v>
      </c>
      <c r="AH25" s="30">
        <v>35.31</v>
      </c>
      <c r="AI25" s="30">
        <v>26.83</v>
      </c>
      <c r="AJ25" s="30">
        <v>35.03</v>
      </c>
      <c r="AK25" s="30">
        <v>26.84</v>
      </c>
      <c r="AL25" s="30">
        <v>38.11</v>
      </c>
      <c r="AM25" s="30">
        <v>26.86</v>
      </c>
      <c r="AN25" s="47"/>
      <c r="AO25" s="32">
        <f t="shared" si="0"/>
        <v>1.1199999999999974</v>
      </c>
      <c r="AP25" s="32">
        <f t="shared" si="1"/>
        <v>-0.17000000000000171</v>
      </c>
      <c r="AQ25" s="32">
        <f t="shared" si="2"/>
        <v>1.620000000000001</v>
      </c>
      <c r="AR25" s="32">
        <f t="shared" si="3"/>
        <v>-2.5399999999999991</v>
      </c>
      <c r="AS25" s="32">
        <f t="shared" si="4"/>
        <v>10.489999999999998</v>
      </c>
      <c r="AT25" s="32">
        <f t="shared" si="5"/>
        <v>9.2399999999999984</v>
      </c>
      <c r="AU25" s="32">
        <f t="shared" si="6"/>
        <v>8.480000000000004</v>
      </c>
      <c r="AV25" s="32">
        <f t="shared" si="7"/>
        <v>8.1900000000000013</v>
      </c>
      <c r="AW25" s="32">
        <f t="shared" si="8"/>
        <v>11.25</v>
      </c>
      <c r="AY25" s="17">
        <v>0.42257679662922198</v>
      </c>
      <c r="BA25"/>
    </row>
    <row r="26" spans="1:53" s="31" customFormat="1" ht="15" customHeight="1">
      <c r="A26" s="28" t="s">
        <v>54</v>
      </c>
      <c r="B26" s="28"/>
      <c r="C26" s="28">
        <v>25</v>
      </c>
      <c r="D26" s="28" t="s">
        <v>129</v>
      </c>
      <c r="E26" s="29"/>
      <c r="F26" s="28"/>
      <c r="G26" s="28"/>
      <c r="H26" s="28" t="s">
        <v>130</v>
      </c>
      <c r="I26" s="28" t="s">
        <v>115</v>
      </c>
      <c r="J26" s="28">
        <v>75</v>
      </c>
      <c r="K26" s="28" t="s">
        <v>116</v>
      </c>
      <c r="L26" s="28"/>
      <c r="M26" s="28"/>
      <c r="N26" s="28"/>
      <c r="O26" s="28">
        <v>16.7</v>
      </c>
      <c r="P26" s="28">
        <v>1.24</v>
      </c>
      <c r="Q26" s="28">
        <v>0.37</v>
      </c>
      <c r="R26" s="28">
        <v>50</v>
      </c>
      <c r="S26" s="28">
        <v>832.5</v>
      </c>
      <c r="T26" s="30">
        <v>26.19</v>
      </c>
      <c r="U26" s="30">
        <v>25.99</v>
      </c>
      <c r="V26" s="30" t="s">
        <v>36</v>
      </c>
      <c r="W26" s="30">
        <v>25.8</v>
      </c>
      <c r="X26" s="30">
        <v>24.41</v>
      </c>
      <c r="Y26" s="30">
        <v>25.76</v>
      </c>
      <c r="Z26" s="30">
        <v>27.11</v>
      </c>
      <c r="AA26" s="30">
        <v>25.45</v>
      </c>
      <c r="AB26" s="30">
        <v>23.47</v>
      </c>
      <c r="AC26" s="30">
        <v>25.27</v>
      </c>
      <c r="AD26" s="30">
        <v>39.22</v>
      </c>
      <c r="AE26" s="30">
        <v>27.71</v>
      </c>
      <c r="AF26" s="30">
        <v>34.58</v>
      </c>
      <c r="AG26" s="30">
        <v>25.77</v>
      </c>
      <c r="AH26" s="30">
        <v>37.090000000000003</v>
      </c>
      <c r="AI26" s="30">
        <v>25.81</v>
      </c>
      <c r="AJ26" s="30">
        <v>32.32</v>
      </c>
      <c r="AK26" s="30">
        <v>25.69</v>
      </c>
      <c r="AL26" s="30">
        <v>36.79</v>
      </c>
      <c r="AM26" s="30">
        <v>25.73</v>
      </c>
      <c r="AN26" s="47"/>
      <c r="AO26" s="32">
        <f t="shared" si="0"/>
        <v>0.20000000000000284</v>
      </c>
      <c r="AP26" s="32">
        <f t="shared" si="1"/>
        <v>-1.3500000000000014</v>
      </c>
      <c r="AQ26" s="32">
        <f t="shared" si="2"/>
        <v>1.6600000000000001</v>
      </c>
      <c r="AR26" s="32">
        <f t="shared" si="3"/>
        <v>-1.8000000000000007</v>
      </c>
      <c r="AS26" s="32">
        <f t="shared" si="4"/>
        <v>11.509999999999998</v>
      </c>
      <c r="AT26" s="32">
        <f t="shared" si="5"/>
        <v>8.8099999999999987</v>
      </c>
      <c r="AU26" s="32">
        <f t="shared" si="6"/>
        <v>11.280000000000005</v>
      </c>
      <c r="AV26" s="32">
        <f t="shared" si="7"/>
        <v>6.629999999999999</v>
      </c>
      <c r="AW26" s="32">
        <f t="shared" si="8"/>
        <v>11.059999999999999</v>
      </c>
      <c r="AY26" s="17">
        <v>0.65702192667102</v>
      </c>
      <c r="BA26"/>
    </row>
    <row r="27" spans="1:53" s="26" customFormat="1" ht="15" customHeight="1">
      <c r="A27" s="21" t="s">
        <v>131</v>
      </c>
      <c r="B27" s="21">
        <v>1</v>
      </c>
      <c r="C27" s="33">
        <v>1</v>
      </c>
      <c r="D27" s="34" t="s">
        <v>132</v>
      </c>
      <c r="E27" s="35" t="s">
        <v>133</v>
      </c>
      <c r="F27" s="21"/>
      <c r="G27" s="21"/>
      <c r="H27" s="23" t="s">
        <v>134</v>
      </c>
      <c r="I27" s="36" t="s">
        <v>135</v>
      </c>
      <c r="J27" s="36">
        <v>72</v>
      </c>
      <c r="K27" s="36" t="s">
        <v>136</v>
      </c>
      <c r="L27" s="37">
        <v>20200227</v>
      </c>
      <c r="M27" s="21"/>
      <c r="N27" s="21"/>
      <c r="O27" s="21">
        <v>49.78</v>
      </c>
      <c r="P27" s="21">
        <v>1.34</v>
      </c>
      <c r="Q27" s="21">
        <v>0.46</v>
      </c>
      <c r="R27" s="21">
        <v>30</v>
      </c>
      <c r="S27" s="21">
        <v>1493.4</v>
      </c>
      <c r="T27" s="38">
        <v>25.870065689086914</v>
      </c>
      <c r="U27" s="38">
        <v>26.011811256408691</v>
      </c>
      <c r="V27" s="38"/>
      <c r="W27" s="38"/>
      <c r="X27" s="38">
        <v>26.241756439208984</v>
      </c>
      <c r="Y27" s="38">
        <v>25.92091178894043</v>
      </c>
      <c r="Z27" s="38">
        <v>24.919331550598145</v>
      </c>
      <c r="AA27" s="38">
        <v>24.94659423828125</v>
      </c>
      <c r="AB27" s="38">
        <v>25.870065689086914</v>
      </c>
      <c r="AC27" s="38">
        <v>25.702566146850586</v>
      </c>
      <c r="AD27" s="38">
        <v>40</v>
      </c>
      <c r="AE27" s="38">
        <v>27.576513290405273</v>
      </c>
      <c r="AF27" s="38">
        <v>35.594573974609375</v>
      </c>
      <c r="AG27" s="38">
        <v>25.988544464111328</v>
      </c>
      <c r="AH27" s="38">
        <v>31.781035423278809</v>
      </c>
      <c r="AI27" s="38">
        <v>25.95435619354248</v>
      </c>
      <c r="AJ27" s="38">
        <v>32.520465850830078</v>
      </c>
      <c r="AK27" s="38">
        <v>26.061099052429199</v>
      </c>
      <c r="AL27" s="38">
        <v>35.079870223999023</v>
      </c>
      <c r="AM27" s="38">
        <v>25.939413070678711</v>
      </c>
      <c r="AN27" s="27"/>
      <c r="AO27" s="27">
        <f t="shared" si="0"/>
        <v>-0.14174556732177734</v>
      </c>
      <c r="AP27" s="27">
        <f t="shared" si="1"/>
        <v>0.32084465026855469</v>
      </c>
      <c r="AQ27" s="27">
        <f t="shared" si="2"/>
        <v>-2.7262687683105469E-2</v>
      </c>
      <c r="AR27" s="27">
        <f t="shared" si="3"/>
        <v>0.16749954223632812</v>
      </c>
      <c r="AS27" s="27">
        <f t="shared" si="4"/>
        <v>12.423486709594727</v>
      </c>
      <c r="AT27" s="27">
        <f t="shared" si="5"/>
        <v>9.6060295104980469</v>
      </c>
      <c r="AU27" s="27">
        <f t="shared" si="6"/>
        <v>5.8266792297363281</v>
      </c>
      <c r="AV27" s="27">
        <f t="shared" si="7"/>
        <v>6.4593667984008789</v>
      </c>
      <c r="AW27" s="27">
        <f t="shared" si="8"/>
        <v>9.1404571533203125</v>
      </c>
      <c r="AY27" s="17">
        <v>0.89022680972753698</v>
      </c>
      <c r="AZ27"/>
    </row>
    <row r="28" spans="1:53" s="26" customFormat="1">
      <c r="A28" s="21" t="s">
        <v>131</v>
      </c>
      <c r="B28" s="21">
        <v>2</v>
      </c>
      <c r="C28" s="33">
        <v>2</v>
      </c>
      <c r="D28" s="34" t="s">
        <v>137</v>
      </c>
      <c r="E28" s="35" t="s">
        <v>138</v>
      </c>
      <c r="F28" s="21"/>
      <c r="G28" s="21"/>
      <c r="H28" s="23" t="s">
        <v>139</v>
      </c>
      <c r="I28" s="36" t="s">
        <v>135</v>
      </c>
      <c r="J28" s="36">
        <v>74</v>
      </c>
      <c r="K28" s="36" t="s">
        <v>136</v>
      </c>
      <c r="L28" s="37">
        <v>20200922</v>
      </c>
      <c r="M28" s="21"/>
      <c r="N28" s="21"/>
      <c r="O28" s="21">
        <v>48.56</v>
      </c>
      <c r="P28" s="21">
        <v>1.35</v>
      </c>
      <c r="Q28" s="21">
        <v>0.48</v>
      </c>
      <c r="R28" s="21">
        <v>30</v>
      </c>
      <c r="S28" s="21">
        <v>1456.9</v>
      </c>
      <c r="T28" s="38">
        <v>26.604811668395996</v>
      </c>
      <c r="U28" s="38">
        <v>26.947365760803223</v>
      </c>
      <c r="V28" s="38"/>
      <c r="W28" s="38"/>
      <c r="X28" s="38">
        <v>27.397255897521973</v>
      </c>
      <c r="Y28" s="38">
        <v>27.06330394744873</v>
      </c>
      <c r="Z28" s="38">
        <v>26.294977188110352</v>
      </c>
      <c r="AA28" s="38">
        <v>26.045433044433594</v>
      </c>
      <c r="AB28" s="38">
        <v>26.604811668395996</v>
      </c>
      <c r="AC28" s="38">
        <v>26.694962501525879</v>
      </c>
      <c r="AD28" s="38">
        <v>40</v>
      </c>
      <c r="AE28" s="38">
        <v>28.744147300720215</v>
      </c>
      <c r="AF28" s="38">
        <v>36.687490463256836</v>
      </c>
      <c r="AG28" s="38">
        <v>27.133004188537598</v>
      </c>
      <c r="AH28" s="38">
        <v>33.330598831176758</v>
      </c>
      <c r="AI28" s="38">
        <v>27.012598991394043</v>
      </c>
      <c r="AJ28" s="38">
        <v>33.604812622070312</v>
      </c>
      <c r="AK28" s="38">
        <v>27.108510971069336</v>
      </c>
      <c r="AL28" s="38">
        <v>35.912914276123047</v>
      </c>
      <c r="AM28" s="38">
        <v>26.987540245056152</v>
      </c>
      <c r="AN28" s="27"/>
      <c r="AO28" s="27">
        <f t="shared" si="0"/>
        <v>-0.34255409240722656</v>
      </c>
      <c r="AP28" s="27">
        <f t="shared" si="1"/>
        <v>0.33395195007324219</v>
      </c>
      <c r="AQ28" s="27">
        <f t="shared" si="2"/>
        <v>0.24954414367675781</v>
      </c>
      <c r="AR28" s="27">
        <f t="shared" si="3"/>
        <v>-9.0150833129882812E-2</v>
      </c>
      <c r="AS28" s="27">
        <f t="shared" si="4"/>
        <v>11.255852699279785</v>
      </c>
      <c r="AT28" s="27">
        <f t="shared" si="5"/>
        <v>9.5544862747192383</v>
      </c>
      <c r="AU28" s="27">
        <f t="shared" si="6"/>
        <v>6.3179998397827148</v>
      </c>
      <c r="AV28" s="27">
        <f t="shared" si="7"/>
        <v>6.4963016510009766</v>
      </c>
      <c r="AW28" s="27">
        <f t="shared" si="8"/>
        <v>8.9253740310668945</v>
      </c>
      <c r="AY28" s="17">
        <v>0.86871075505554896</v>
      </c>
      <c r="AZ28"/>
    </row>
    <row r="29" spans="1:53" s="26" customFormat="1" ht="17">
      <c r="A29" s="21" t="s">
        <v>131</v>
      </c>
      <c r="B29" s="21">
        <v>3</v>
      </c>
      <c r="C29" s="33">
        <v>3</v>
      </c>
      <c r="D29" s="34" t="s">
        <v>140</v>
      </c>
      <c r="E29" s="35" t="s">
        <v>141</v>
      </c>
      <c r="F29" s="21"/>
      <c r="G29" s="21"/>
      <c r="H29" s="23" t="s">
        <v>142</v>
      </c>
      <c r="I29" s="36" t="s">
        <v>135</v>
      </c>
      <c r="J29" s="36">
        <v>77</v>
      </c>
      <c r="K29" s="36" t="s">
        <v>136</v>
      </c>
      <c r="L29" s="37">
        <v>20190611</v>
      </c>
      <c r="M29" s="21"/>
      <c r="N29" s="21"/>
      <c r="O29" s="21">
        <v>74.7</v>
      </c>
      <c r="P29" s="21">
        <v>1.38</v>
      </c>
      <c r="Q29" s="21">
        <v>0.49</v>
      </c>
      <c r="R29" s="21">
        <v>30</v>
      </c>
      <c r="S29" s="21">
        <v>2241</v>
      </c>
      <c r="T29" s="38">
        <v>25.229777336120605</v>
      </c>
      <c r="U29" s="38">
        <v>26.81120777130127</v>
      </c>
      <c r="V29" s="38"/>
      <c r="W29" s="38"/>
      <c r="X29" s="38">
        <v>26.388439178466797</v>
      </c>
      <c r="Y29" s="38">
        <v>26.921492576599121</v>
      </c>
      <c r="Z29" s="38">
        <v>25.401415824890137</v>
      </c>
      <c r="AA29" s="38">
        <v>25.659854888916016</v>
      </c>
      <c r="AB29" s="38">
        <v>25.229777336120605</v>
      </c>
      <c r="AC29" s="38">
        <v>26.266777038574219</v>
      </c>
      <c r="AD29" s="38">
        <v>39.263565063476562</v>
      </c>
      <c r="AE29" s="38">
        <v>28.57346248626709</v>
      </c>
      <c r="AF29" s="38">
        <v>34.301013946533203</v>
      </c>
      <c r="AG29" s="38">
        <v>26.916661262512207</v>
      </c>
      <c r="AH29" s="38">
        <v>32.005117416381836</v>
      </c>
      <c r="AI29" s="38">
        <v>26.918875694274902</v>
      </c>
      <c r="AJ29" s="38">
        <v>32.178127288818359</v>
      </c>
      <c r="AK29" s="38">
        <v>26.959295272827148</v>
      </c>
      <c r="AL29" s="38">
        <v>34.025482177734375</v>
      </c>
      <c r="AM29" s="38">
        <v>26.85655403137207</v>
      </c>
      <c r="AN29" s="27"/>
      <c r="AO29" s="27">
        <f t="shared" si="0"/>
        <v>-1.5814304351806641</v>
      </c>
      <c r="AP29" s="27">
        <f t="shared" si="1"/>
        <v>-0.53305339813232422</v>
      </c>
      <c r="AQ29" s="27">
        <f t="shared" si="2"/>
        <v>-0.25843906402587891</v>
      </c>
      <c r="AR29" s="27">
        <f t="shared" si="3"/>
        <v>-1.0369997024536133</v>
      </c>
      <c r="AS29" s="27">
        <f t="shared" si="4"/>
        <v>10.690102577209473</v>
      </c>
      <c r="AT29" s="27">
        <f t="shared" si="5"/>
        <v>7.3843526840209961</v>
      </c>
      <c r="AU29" s="27">
        <f t="shared" si="6"/>
        <v>5.0862417221069336</v>
      </c>
      <c r="AV29" s="27">
        <f t="shared" si="7"/>
        <v>5.2188320159912109</v>
      </c>
      <c r="AW29" s="27">
        <f t="shared" si="8"/>
        <v>7.1689281463623047</v>
      </c>
      <c r="AY29" s="17">
        <v>0.91581121212139105</v>
      </c>
      <c r="AZ29" s="39"/>
    </row>
    <row r="30" spans="1:53" s="26" customFormat="1">
      <c r="A30" s="21" t="s">
        <v>143</v>
      </c>
      <c r="B30" s="21">
        <v>4</v>
      </c>
      <c r="C30" s="33">
        <v>4</v>
      </c>
      <c r="D30" s="34" t="s">
        <v>144</v>
      </c>
      <c r="E30" s="35" t="s">
        <v>145</v>
      </c>
      <c r="F30" s="21"/>
      <c r="G30" s="21"/>
      <c r="H30" s="23" t="s">
        <v>146</v>
      </c>
      <c r="I30" s="36" t="s">
        <v>135</v>
      </c>
      <c r="J30" s="36">
        <v>77</v>
      </c>
      <c r="K30" s="36" t="s">
        <v>136</v>
      </c>
      <c r="L30" s="37">
        <v>20190807</v>
      </c>
      <c r="M30" s="21"/>
      <c r="N30" s="21"/>
      <c r="O30" s="21">
        <v>41.42</v>
      </c>
      <c r="P30" s="21">
        <v>1.32</v>
      </c>
      <c r="Q30" s="21">
        <v>0.45</v>
      </c>
      <c r="R30" s="21">
        <v>30</v>
      </c>
      <c r="S30" s="21">
        <v>1242.5999999999999</v>
      </c>
      <c r="T30" s="38">
        <v>27.933792114257812</v>
      </c>
      <c r="U30" s="38">
        <v>26.93841552734375</v>
      </c>
      <c r="V30" s="38"/>
      <c r="W30" s="38"/>
      <c r="X30" s="38">
        <v>25.753476142883301</v>
      </c>
      <c r="Y30" s="38">
        <v>27.035662651062012</v>
      </c>
      <c r="Z30" s="38">
        <v>31.827373504638672</v>
      </c>
      <c r="AA30" s="38">
        <v>27.033048629760742</v>
      </c>
      <c r="AB30" s="38">
        <v>27.933792114257812</v>
      </c>
      <c r="AC30" s="38">
        <v>26.932591438293457</v>
      </c>
      <c r="AD30" s="38">
        <v>40</v>
      </c>
      <c r="AE30" s="38">
        <v>28.761073112487793</v>
      </c>
      <c r="AF30" s="38">
        <v>33.484333038330078</v>
      </c>
      <c r="AG30" s="38">
        <v>26.979401588439941</v>
      </c>
      <c r="AH30" s="38">
        <v>36.806303024291992</v>
      </c>
      <c r="AI30" s="38">
        <v>27.03752613067627</v>
      </c>
      <c r="AJ30" s="38">
        <v>30.729473114013672</v>
      </c>
      <c r="AK30" s="38">
        <v>26.962040901184082</v>
      </c>
      <c r="AL30" s="38">
        <v>35.98175048828125</v>
      </c>
      <c r="AM30" s="38">
        <v>27.146992683410645</v>
      </c>
      <c r="AN30" s="27"/>
      <c r="AO30" s="27">
        <f t="shared" si="0"/>
        <v>0.9953765869140625</v>
      </c>
      <c r="AP30" s="27">
        <f t="shared" si="1"/>
        <v>-1.2821865081787109</v>
      </c>
      <c r="AQ30" s="27">
        <f t="shared" si="2"/>
        <v>4.7943248748779297</v>
      </c>
      <c r="AR30" s="27">
        <f t="shared" si="3"/>
        <v>1.0012006759643555</v>
      </c>
      <c r="AS30" s="27">
        <f t="shared" si="4"/>
        <v>11.238926887512207</v>
      </c>
      <c r="AT30" s="27">
        <f t="shared" si="5"/>
        <v>6.5049314498901367</v>
      </c>
      <c r="AU30" s="27">
        <f t="shared" si="6"/>
        <v>9.7687768936157227</v>
      </c>
      <c r="AV30" s="27">
        <f t="shared" si="7"/>
        <v>3.7674322128295898</v>
      </c>
      <c r="AW30" s="27">
        <f t="shared" si="8"/>
        <v>8.8347578048706055</v>
      </c>
      <c r="AY30" s="40">
        <v>0.49383529494745798</v>
      </c>
      <c r="AZ30" s="20"/>
    </row>
    <row r="31" spans="1:53" s="26" customFormat="1">
      <c r="A31" s="21" t="s">
        <v>143</v>
      </c>
      <c r="B31" s="21">
        <v>5</v>
      </c>
      <c r="C31" s="33">
        <v>5</v>
      </c>
      <c r="D31" s="34" t="s">
        <v>147</v>
      </c>
      <c r="E31" s="35" t="s">
        <v>148</v>
      </c>
      <c r="F31" s="21"/>
      <c r="G31" s="21"/>
      <c r="H31" s="23" t="s">
        <v>149</v>
      </c>
      <c r="I31" s="36" t="s">
        <v>135</v>
      </c>
      <c r="J31" s="36">
        <v>79</v>
      </c>
      <c r="K31" s="36" t="s">
        <v>136</v>
      </c>
      <c r="L31" s="37">
        <v>20201005</v>
      </c>
      <c r="M31" s="21"/>
      <c r="N31" s="21"/>
      <c r="O31" s="21">
        <v>39.18</v>
      </c>
      <c r="P31" s="21">
        <v>1.32</v>
      </c>
      <c r="Q31" s="21">
        <v>0.45</v>
      </c>
      <c r="R31" s="21">
        <v>30</v>
      </c>
      <c r="S31" s="21">
        <v>1175.5</v>
      </c>
      <c r="T31" s="38">
        <v>27.078451156616211</v>
      </c>
      <c r="U31" s="38">
        <v>27.08153247833252</v>
      </c>
      <c r="V31" s="38"/>
      <c r="W31" s="38"/>
      <c r="X31" s="38">
        <v>26.36106014251709</v>
      </c>
      <c r="Y31" s="38">
        <v>26.877161026000977</v>
      </c>
      <c r="Z31" s="38">
        <v>25.947898864746094</v>
      </c>
      <c r="AA31" s="38">
        <v>26.056036949157715</v>
      </c>
      <c r="AB31" s="38">
        <v>27.078451156616211</v>
      </c>
      <c r="AC31" s="38">
        <v>26.848450660705566</v>
      </c>
      <c r="AD31" s="38">
        <v>39.869161605834961</v>
      </c>
      <c r="AE31" s="38">
        <v>28.826680183410645</v>
      </c>
      <c r="AF31" s="38">
        <v>34.821403503417969</v>
      </c>
      <c r="AG31" s="38">
        <v>27.085169792175293</v>
      </c>
      <c r="AH31" s="38">
        <v>33.916423797607422</v>
      </c>
      <c r="AI31" s="38">
        <v>27.06486988067627</v>
      </c>
      <c r="AJ31" s="38">
        <v>31.92948055267334</v>
      </c>
      <c r="AK31" s="38">
        <v>27.098247528076172</v>
      </c>
      <c r="AL31" s="38">
        <v>36.26801872253418</v>
      </c>
      <c r="AM31" s="38">
        <v>27.202700614929199</v>
      </c>
      <c r="AN31" s="27"/>
      <c r="AO31" s="27">
        <f t="shared" si="0"/>
        <v>-3.0813217163085938E-3</v>
      </c>
      <c r="AP31" s="27">
        <f t="shared" si="1"/>
        <v>-0.51610088348388672</v>
      </c>
      <c r="AQ31" s="27">
        <f t="shared" si="2"/>
        <v>-0.10813808441162109</v>
      </c>
      <c r="AR31" s="27">
        <f t="shared" si="3"/>
        <v>0.23000049591064453</v>
      </c>
      <c r="AS31" s="27">
        <f t="shared" si="4"/>
        <v>11.042481422424316</v>
      </c>
      <c r="AT31" s="27">
        <f t="shared" si="5"/>
        <v>7.7362337112426758</v>
      </c>
      <c r="AU31" s="27">
        <f t="shared" si="6"/>
        <v>6.8515539169311523</v>
      </c>
      <c r="AV31" s="27">
        <f t="shared" si="7"/>
        <v>4.831233024597168</v>
      </c>
      <c r="AW31" s="27">
        <f t="shared" si="8"/>
        <v>9.0653181076049805</v>
      </c>
      <c r="AY31" s="17">
        <v>0.91358867332715898</v>
      </c>
      <c r="AZ31"/>
    </row>
    <row r="32" spans="1:53" s="26" customFormat="1">
      <c r="A32" s="21" t="s">
        <v>143</v>
      </c>
      <c r="B32" s="21">
        <v>6</v>
      </c>
      <c r="C32" s="33">
        <v>6</v>
      </c>
      <c r="D32" s="34" t="s">
        <v>150</v>
      </c>
      <c r="E32" s="35" t="s">
        <v>151</v>
      </c>
      <c r="F32" s="21"/>
      <c r="G32" s="21"/>
      <c r="H32" s="23" t="s">
        <v>152</v>
      </c>
      <c r="I32" s="36" t="s">
        <v>135</v>
      </c>
      <c r="J32" s="36">
        <v>79</v>
      </c>
      <c r="K32" s="36" t="s">
        <v>136</v>
      </c>
      <c r="L32" s="37">
        <v>20191029</v>
      </c>
      <c r="M32" s="21"/>
      <c r="N32" s="21"/>
      <c r="O32" s="21">
        <v>39.799999999999997</v>
      </c>
      <c r="P32" s="21">
        <v>1.34</v>
      </c>
      <c r="Q32" s="21">
        <v>0.46</v>
      </c>
      <c r="R32" s="21">
        <v>30</v>
      </c>
      <c r="S32" s="21">
        <v>1194</v>
      </c>
      <c r="T32" s="38">
        <v>27.409048080444336</v>
      </c>
      <c r="U32" s="38">
        <v>28.694740295410156</v>
      </c>
      <c r="V32" s="38"/>
      <c r="W32" s="38"/>
      <c r="X32" s="38">
        <v>26.731234550476074</v>
      </c>
      <c r="Y32" s="38">
        <v>28.552369117736816</v>
      </c>
      <c r="Z32" s="38">
        <v>26.92625617980957</v>
      </c>
      <c r="AA32" s="38">
        <v>27.809292793273926</v>
      </c>
      <c r="AB32" s="38">
        <v>25.881397247314453</v>
      </c>
      <c r="AC32" s="38">
        <v>27.876277923583984</v>
      </c>
      <c r="AD32" s="38">
        <v>37.717214584350586</v>
      </c>
      <c r="AE32" s="38">
        <v>30.711934089660645</v>
      </c>
      <c r="AF32" s="38">
        <v>33.649757385253906</v>
      </c>
      <c r="AG32" s="38">
        <v>28.864825248718262</v>
      </c>
      <c r="AH32" s="38">
        <v>32.456039428710938</v>
      </c>
      <c r="AI32" s="38">
        <v>28.750565528869629</v>
      </c>
      <c r="AJ32" s="38">
        <v>30.960238456726074</v>
      </c>
      <c r="AK32" s="38">
        <v>28.471607208251953</v>
      </c>
      <c r="AL32" s="38">
        <v>33.803977966308594</v>
      </c>
      <c r="AM32" s="38">
        <v>28.823869705200195</v>
      </c>
      <c r="AN32" s="27"/>
      <c r="AO32" s="27">
        <f t="shared" si="0"/>
        <v>-1.2856922149658203</v>
      </c>
      <c r="AP32" s="27">
        <f t="shared" si="1"/>
        <v>-1.8211345672607422</v>
      </c>
      <c r="AQ32" s="27">
        <f t="shared" si="2"/>
        <v>-0.88303661346435547</v>
      </c>
      <c r="AR32" s="27">
        <f t="shared" si="3"/>
        <v>-1.9948806762695312</v>
      </c>
      <c r="AS32" s="27">
        <f t="shared" si="4"/>
        <v>7.0052804946899414</v>
      </c>
      <c r="AT32" s="27">
        <f t="shared" si="5"/>
        <v>4.7849321365356445</v>
      </c>
      <c r="AU32" s="27">
        <f t="shared" si="6"/>
        <v>3.7054738998413086</v>
      </c>
      <c r="AV32" s="27">
        <f t="shared" si="7"/>
        <v>2.4886312484741211</v>
      </c>
      <c r="AW32" s="27">
        <f t="shared" si="8"/>
        <v>4.9801082611083984</v>
      </c>
      <c r="AY32" s="17">
        <v>0.92763290059509995</v>
      </c>
      <c r="AZ32"/>
    </row>
    <row r="33" spans="1:69" s="26" customFormat="1">
      <c r="A33" s="21" t="s">
        <v>143</v>
      </c>
      <c r="B33" s="21">
        <v>7</v>
      </c>
      <c r="C33" s="33">
        <v>7</v>
      </c>
      <c r="D33" s="34" t="s">
        <v>153</v>
      </c>
      <c r="E33" s="35" t="s">
        <v>154</v>
      </c>
      <c r="F33" s="21"/>
      <c r="G33" s="21"/>
      <c r="H33" s="23" t="s">
        <v>155</v>
      </c>
      <c r="I33" s="36" t="s">
        <v>135</v>
      </c>
      <c r="J33" s="36">
        <v>79</v>
      </c>
      <c r="K33" s="36" t="s">
        <v>136</v>
      </c>
      <c r="L33" s="37">
        <v>20210112</v>
      </c>
      <c r="M33" s="21"/>
      <c r="N33" s="21"/>
      <c r="O33" s="21">
        <v>47.68</v>
      </c>
      <c r="P33" s="21">
        <v>1.34</v>
      </c>
      <c r="Q33" s="21">
        <v>0.46</v>
      </c>
      <c r="R33" s="21">
        <v>30</v>
      </c>
      <c r="S33" s="21">
        <v>1430.3</v>
      </c>
      <c r="T33" s="38">
        <v>26.250125885009766</v>
      </c>
      <c r="U33" s="38">
        <v>25.949980735778809</v>
      </c>
      <c r="V33" s="38"/>
      <c r="W33" s="38"/>
      <c r="X33" s="38">
        <v>24.544410705566406</v>
      </c>
      <c r="Y33" s="38">
        <v>25.957157135009766</v>
      </c>
      <c r="Z33" s="38">
        <v>23.483121871948242</v>
      </c>
      <c r="AA33" s="38">
        <v>25.058533668518066</v>
      </c>
      <c r="AB33" s="38">
        <v>23.710227012634277</v>
      </c>
      <c r="AC33" s="38">
        <v>25.287683486938477</v>
      </c>
      <c r="AD33" s="38">
        <v>35.129922866821289</v>
      </c>
      <c r="AE33" s="38">
        <v>27.916190147399902</v>
      </c>
      <c r="AF33" s="38">
        <v>32.066211700439453</v>
      </c>
      <c r="AG33" s="38">
        <v>26.011377334594727</v>
      </c>
      <c r="AH33" s="38">
        <v>29.612837791442871</v>
      </c>
      <c r="AI33" s="38">
        <v>26.001930236816406</v>
      </c>
      <c r="AJ33" s="38">
        <v>29.540103912353516</v>
      </c>
      <c r="AK33" s="38">
        <v>25.871405601501465</v>
      </c>
      <c r="AL33" s="38">
        <v>31.667819023132324</v>
      </c>
      <c r="AM33" s="38">
        <v>25.954428672790527</v>
      </c>
      <c r="AN33" s="27"/>
      <c r="AO33" s="27">
        <f t="shared" si="0"/>
        <v>0.30014514923095703</v>
      </c>
      <c r="AP33" s="27">
        <f t="shared" si="1"/>
        <v>-1.4127464294433594</v>
      </c>
      <c r="AQ33" s="27">
        <f t="shared" si="2"/>
        <v>-1.5754117965698242</v>
      </c>
      <c r="AR33" s="27">
        <f t="shared" si="3"/>
        <v>-1.5774564743041992</v>
      </c>
      <c r="AS33" s="27">
        <f t="shared" si="4"/>
        <v>7.2137327194213867</v>
      </c>
      <c r="AT33" s="27">
        <f t="shared" si="5"/>
        <v>6.0548343658447266</v>
      </c>
      <c r="AU33" s="27">
        <f t="shared" si="6"/>
        <v>3.6109075546264648</v>
      </c>
      <c r="AV33" s="27">
        <f t="shared" si="7"/>
        <v>3.6686983108520508</v>
      </c>
      <c r="AW33" s="27">
        <f t="shared" si="8"/>
        <v>5.7133903503417969</v>
      </c>
      <c r="AY33" s="17">
        <v>0.92191490297899303</v>
      </c>
      <c r="AZ33"/>
    </row>
    <row r="34" spans="1:69" s="26" customFormat="1">
      <c r="A34" s="21" t="s">
        <v>143</v>
      </c>
      <c r="B34" s="21">
        <v>8</v>
      </c>
      <c r="C34" s="33">
        <v>8</v>
      </c>
      <c r="D34" s="34" t="s">
        <v>156</v>
      </c>
      <c r="E34" s="35" t="s">
        <v>157</v>
      </c>
      <c r="F34" s="21"/>
      <c r="G34" s="21"/>
      <c r="H34" s="23" t="s">
        <v>158</v>
      </c>
      <c r="I34" s="36" t="s">
        <v>135</v>
      </c>
      <c r="J34" s="36">
        <v>80</v>
      </c>
      <c r="K34" s="36" t="s">
        <v>136</v>
      </c>
      <c r="L34" s="37">
        <v>20190812</v>
      </c>
      <c r="M34" s="21"/>
      <c r="N34" s="21"/>
      <c r="O34" s="21">
        <v>34.020000000000003</v>
      </c>
      <c r="P34" s="21">
        <v>1.33</v>
      </c>
      <c r="Q34" s="21">
        <v>0.44</v>
      </c>
      <c r="R34" s="21">
        <v>30</v>
      </c>
      <c r="S34" s="21">
        <v>1020.5</v>
      </c>
      <c r="T34" s="38">
        <v>26.304183959960938</v>
      </c>
      <c r="U34" s="38">
        <v>26.977445602416992</v>
      </c>
      <c r="V34" s="38"/>
      <c r="W34" s="38"/>
      <c r="X34" s="38">
        <v>25.778803825378418</v>
      </c>
      <c r="Y34" s="38">
        <v>26.953971862792969</v>
      </c>
      <c r="Z34" s="38">
        <v>26.283920288085938</v>
      </c>
      <c r="AA34" s="38">
        <v>26.14593505859375</v>
      </c>
      <c r="AB34" s="38">
        <v>25.993157386779785</v>
      </c>
      <c r="AC34" s="38">
        <v>26.679010391235352</v>
      </c>
      <c r="AD34" s="38">
        <v>39.07769775390625</v>
      </c>
      <c r="AE34" s="38">
        <v>28.973058700561523</v>
      </c>
      <c r="AF34" s="38">
        <v>33.201923370361328</v>
      </c>
      <c r="AG34" s="38">
        <v>27.16057014465332</v>
      </c>
      <c r="AH34" s="38">
        <v>32.114469528198242</v>
      </c>
      <c r="AI34" s="38">
        <v>27.07334041595459</v>
      </c>
      <c r="AJ34" s="38">
        <v>30.761466979980469</v>
      </c>
      <c r="AK34" s="38">
        <v>26.448197364807129</v>
      </c>
      <c r="AL34" s="38">
        <v>34.060911178588867</v>
      </c>
      <c r="AM34" s="38">
        <v>26.99288272857666</v>
      </c>
      <c r="AN34" s="27"/>
      <c r="AO34" s="27">
        <f t="shared" si="0"/>
        <v>-0.67326164245605469</v>
      </c>
      <c r="AP34" s="27">
        <f t="shared" si="1"/>
        <v>-1.1751680374145508</v>
      </c>
      <c r="AQ34" s="27">
        <f t="shared" si="2"/>
        <v>0.1379852294921875</v>
      </c>
      <c r="AR34" s="27">
        <f t="shared" si="3"/>
        <v>-0.68585300445556641</v>
      </c>
      <c r="AS34" s="27">
        <f t="shared" si="4"/>
        <v>10.104639053344727</v>
      </c>
      <c r="AT34" s="27">
        <f t="shared" si="5"/>
        <v>6.0413532257080078</v>
      </c>
      <c r="AU34" s="27">
        <f t="shared" si="6"/>
        <v>5.0411291122436523</v>
      </c>
      <c r="AV34" s="27">
        <f t="shared" si="7"/>
        <v>4.3132696151733398</v>
      </c>
      <c r="AW34" s="27">
        <f t="shared" si="8"/>
        <v>7.068028450012207</v>
      </c>
      <c r="AY34" s="17">
        <v>0.90178915480927901</v>
      </c>
      <c r="AZ34"/>
    </row>
    <row r="35" spans="1:69" s="26" customFormat="1">
      <c r="A35" s="21" t="s">
        <v>143</v>
      </c>
      <c r="B35" s="21">
        <v>9</v>
      </c>
      <c r="C35" s="33">
        <v>9</v>
      </c>
      <c r="D35" s="34" t="s">
        <v>159</v>
      </c>
      <c r="E35" s="35" t="s">
        <v>160</v>
      </c>
      <c r="F35" s="21"/>
      <c r="G35" s="21"/>
      <c r="H35" s="23" t="s">
        <v>161</v>
      </c>
      <c r="I35" s="36" t="s">
        <v>135</v>
      </c>
      <c r="J35" s="36">
        <v>81</v>
      </c>
      <c r="K35" s="36" t="s">
        <v>136</v>
      </c>
      <c r="L35" s="37">
        <v>20190508</v>
      </c>
      <c r="M35" s="21"/>
      <c r="N35" s="21"/>
      <c r="O35" s="21">
        <v>47.55</v>
      </c>
      <c r="P35" s="21">
        <v>1.36</v>
      </c>
      <c r="Q35" s="21">
        <v>0.47</v>
      </c>
      <c r="R35" s="21">
        <v>30</v>
      </c>
      <c r="S35" s="21">
        <v>1426.5</v>
      </c>
      <c r="T35" s="38">
        <v>26.626113891601562</v>
      </c>
      <c r="U35" s="38">
        <v>26.699151039123535</v>
      </c>
      <c r="V35" s="38"/>
      <c r="W35" s="38"/>
      <c r="X35" s="38">
        <v>26.175350189208984</v>
      </c>
      <c r="Y35" s="38">
        <v>26.717814445495605</v>
      </c>
      <c r="Z35" s="38">
        <v>25.82192325592041</v>
      </c>
      <c r="AA35" s="38">
        <v>25.767731666564941</v>
      </c>
      <c r="AB35" s="38">
        <v>25.257304191589355</v>
      </c>
      <c r="AC35" s="38">
        <v>26.171638488769531</v>
      </c>
      <c r="AD35" s="38">
        <v>38.146656036376953</v>
      </c>
      <c r="AE35" s="38">
        <v>28.657876968383789</v>
      </c>
      <c r="AF35" s="38">
        <v>33.787958145141602</v>
      </c>
      <c r="AG35" s="38">
        <v>26.774868011474609</v>
      </c>
      <c r="AH35" s="38">
        <v>32.222360610961914</v>
      </c>
      <c r="AI35" s="38">
        <v>26.777454376220703</v>
      </c>
      <c r="AJ35" s="38">
        <v>30.928840637207031</v>
      </c>
      <c r="AK35" s="38">
        <v>26.670974731445312</v>
      </c>
      <c r="AL35" s="38">
        <v>33.572546005249023</v>
      </c>
      <c r="AM35" s="38">
        <v>26.665067672729492</v>
      </c>
      <c r="AN35" s="27"/>
      <c r="AO35" s="27">
        <f t="shared" si="0"/>
        <v>-7.3037147521972656E-2</v>
      </c>
      <c r="AP35" s="27">
        <f t="shared" si="1"/>
        <v>-0.54246425628662109</v>
      </c>
      <c r="AQ35" s="27">
        <f t="shared" si="2"/>
        <v>5.419158935546875E-2</v>
      </c>
      <c r="AR35" s="27">
        <f t="shared" si="3"/>
        <v>-0.91433429718017578</v>
      </c>
      <c r="AS35" s="27">
        <f t="shared" si="4"/>
        <v>9.4887790679931641</v>
      </c>
      <c r="AT35" s="27">
        <f t="shared" si="5"/>
        <v>7.0130901336669922</v>
      </c>
      <c r="AU35" s="27">
        <f t="shared" si="6"/>
        <v>5.4449062347412109</v>
      </c>
      <c r="AV35" s="27">
        <f t="shared" si="7"/>
        <v>4.2578659057617188</v>
      </c>
      <c r="AW35" s="27">
        <f t="shared" si="8"/>
        <v>6.9074783325195312</v>
      </c>
      <c r="AY35" s="17">
        <v>0.85525428268291304</v>
      </c>
      <c r="AZ35"/>
    </row>
    <row r="36" spans="1:69" s="26" customFormat="1">
      <c r="A36" s="21" t="s">
        <v>143</v>
      </c>
      <c r="B36" s="21">
        <v>10</v>
      </c>
      <c r="C36" s="33">
        <v>10</v>
      </c>
      <c r="D36" s="34" t="s">
        <v>162</v>
      </c>
      <c r="E36" s="35" t="s">
        <v>163</v>
      </c>
      <c r="F36" s="21"/>
      <c r="G36" s="21"/>
      <c r="H36" s="23" t="s">
        <v>164</v>
      </c>
      <c r="I36" s="36" t="s">
        <v>135</v>
      </c>
      <c r="J36" s="36">
        <v>81</v>
      </c>
      <c r="K36" s="36" t="s">
        <v>136</v>
      </c>
      <c r="L36" s="41">
        <v>20190730</v>
      </c>
      <c r="M36" s="21"/>
      <c r="N36" s="21"/>
      <c r="O36" s="21">
        <v>57.95</v>
      </c>
      <c r="P36" s="21">
        <v>1.37</v>
      </c>
      <c r="Q36" s="21">
        <v>0.48</v>
      </c>
      <c r="R36" s="21">
        <v>30</v>
      </c>
      <c r="S36" s="21">
        <v>1738.5</v>
      </c>
      <c r="T36" s="38">
        <v>29.630588531494141</v>
      </c>
      <c r="U36" s="38">
        <v>27.177470207214355</v>
      </c>
      <c r="V36" s="38"/>
      <c r="W36" s="38"/>
      <c r="X36" s="38">
        <v>27.905719757080078</v>
      </c>
      <c r="Y36" s="38">
        <v>26.813823699951172</v>
      </c>
      <c r="Z36" s="38">
        <v>27.517514228820801</v>
      </c>
      <c r="AA36" s="38">
        <v>26.051166534423828</v>
      </c>
      <c r="AB36" s="38">
        <v>26.459999084472656</v>
      </c>
      <c r="AC36" s="38">
        <v>26.499506950378418</v>
      </c>
      <c r="AD36" s="38">
        <v>40</v>
      </c>
      <c r="AE36" s="38">
        <v>28.700529098510742</v>
      </c>
      <c r="AF36" s="38">
        <v>38.296194076538086</v>
      </c>
      <c r="AG36" s="38">
        <v>26.828054428100586</v>
      </c>
      <c r="AH36" s="38">
        <v>32.740236282348633</v>
      </c>
      <c r="AI36" s="38">
        <v>26.866228103637695</v>
      </c>
      <c r="AJ36" s="38">
        <v>34.218307495117188</v>
      </c>
      <c r="AK36" s="38">
        <v>26.909868240356445</v>
      </c>
      <c r="AL36" s="38">
        <v>36.834365844726562</v>
      </c>
      <c r="AM36" s="38">
        <v>27.009469032287598</v>
      </c>
      <c r="AN36" s="27"/>
      <c r="AO36" s="27">
        <f t="shared" si="0"/>
        <v>2.4531183242797852</v>
      </c>
      <c r="AP36" s="27">
        <f t="shared" si="1"/>
        <v>1.0918960571289062</v>
      </c>
      <c r="AQ36" s="27">
        <f t="shared" si="2"/>
        <v>1.4663476943969727</v>
      </c>
      <c r="AR36" s="27">
        <f t="shared" si="3"/>
        <v>-3.9507865905761719E-2</v>
      </c>
      <c r="AS36" s="27">
        <f t="shared" si="4"/>
        <v>11.299470901489258</v>
      </c>
      <c r="AT36" s="27">
        <f t="shared" si="5"/>
        <v>11.4681396484375</v>
      </c>
      <c r="AU36" s="27">
        <f t="shared" si="6"/>
        <v>5.8740081787109375</v>
      </c>
      <c r="AV36" s="27">
        <f t="shared" si="7"/>
        <v>7.3084392547607422</v>
      </c>
      <c r="AW36" s="27">
        <f t="shared" si="8"/>
        <v>9.8248968124389648</v>
      </c>
      <c r="AY36" s="19">
        <v>0.52855252931310404</v>
      </c>
      <c r="AZ36" s="20"/>
    </row>
    <row r="37" spans="1:69" s="26" customFormat="1">
      <c r="A37" s="21" t="s">
        <v>143</v>
      </c>
      <c r="B37" s="21">
        <v>11</v>
      </c>
      <c r="C37" s="33">
        <v>11</v>
      </c>
      <c r="D37" s="34" t="s">
        <v>165</v>
      </c>
      <c r="E37" s="35" t="s">
        <v>166</v>
      </c>
      <c r="F37" s="21"/>
      <c r="G37" s="21"/>
      <c r="H37" s="23" t="s">
        <v>167</v>
      </c>
      <c r="I37" s="36" t="s">
        <v>135</v>
      </c>
      <c r="J37" s="36">
        <v>83</v>
      </c>
      <c r="K37" s="36" t="s">
        <v>136</v>
      </c>
      <c r="L37" s="37">
        <v>20190625</v>
      </c>
      <c r="M37" s="21"/>
      <c r="N37" s="21"/>
      <c r="O37" s="21">
        <v>40.49</v>
      </c>
      <c r="P37" s="21">
        <v>1.32</v>
      </c>
      <c r="Q37" s="21">
        <v>0.45</v>
      </c>
      <c r="R37" s="21">
        <v>30</v>
      </c>
      <c r="S37" s="21">
        <v>1214.5999999999999</v>
      </c>
      <c r="T37" s="42">
        <v>27.083975791931152</v>
      </c>
      <c r="U37" s="43">
        <v>27.00955867767334</v>
      </c>
      <c r="V37" s="44"/>
      <c r="W37" s="44"/>
      <c r="X37" s="44">
        <v>26.44419002532959</v>
      </c>
      <c r="Y37" s="44">
        <v>26.891867637634277</v>
      </c>
      <c r="Z37" s="44">
        <v>24.589456558227539</v>
      </c>
      <c r="AA37" s="44">
        <v>25.86888599395752</v>
      </c>
      <c r="AB37" s="44">
        <v>24.396639823913574</v>
      </c>
      <c r="AC37" s="44">
        <v>26.115120887756348</v>
      </c>
      <c r="AD37" s="44">
        <v>35.975183486938477</v>
      </c>
      <c r="AE37" s="44">
        <v>28.723435401916504</v>
      </c>
      <c r="AF37" s="44">
        <v>33.893095016479492</v>
      </c>
      <c r="AG37" s="44">
        <v>26.963815689086914</v>
      </c>
      <c r="AH37" s="44">
        <v>30.642679214477539</v>
      </c>
      <c r="AI37" s="44">
        <v>26.923057556152344</v>
      </c>
      <c r="AJ37" s="44">
        <v>31.651066780090332</v>
      </c>
      <c r="AK37" s="44">
        <v>26.958831787109375</v>
      </c>
      <c r="AL37" s="44">
        <v>33.128765106201172</v>
      </c>
      <c r="AM37" s="44">
        <v>26.946592330932617</v>
      </c>
      <c r="AN37" s="48"/>
      <c r="AO37" s="27">
        <f t="shared" si="0"/>
        <v>7.44171142578125E-2</v>
      </c>
      <c r="AP37" s="27">
        <f t="shared" si="1"/>
        <v>-0.4476776123046875</v>
      </c>
      <c r="AQ37" s="27">
        <f t="shared" si="2"/>
        <v>-1.2794294357299805</v>
      </c>
      <c r="AR37" s="27">
        <f t="shared" si="3"/>
        <v>-1.7184810638427734</v>
      </c>
      <c r="AS37" s="27">
        <f t="shared" si="4"/>
        <v>7.2517480850219727</v>
      </c>
      <c r="AT37" s="27">
        <f t="shared" si="5"/>
        <v>6.9292793273925781</v>
      </c>
      <c r="AU37" s="27">
        <f t="shared" si="6"/>
        <v>3.7196216583251953</v>
      </c>
      <c r="AV37" s="27">
        <f t="shared" si="7"/>
        <v>4.692234992980957</v>
      </c>
      <c r="AW37" s="27">
        <f t="shared" si="8"/>
        <v>6.1821727752685547</v>
      </c>
      <c r="AY37" s="17">
        <v>0.885398357350067</v>
      </c>
      <c r="AZ37"/>
    </row>
    <row r="38" spans="1:69" s="26" customFormat="1">
      <c r="A38" s="21" t="s">
        <v>143</v>
      </c>
      <c r="B38" s="21">
        <v>12</v>
      </c>
      <c r="C38" s="33">
        <v>12</v>
      </c>
      <c r="D38" s="34" t="s">
        <v>168</v>
      </c>
      <c r="E38" s="35" t="s">
        <v>169</v>
      </c>
      <c r="F38" s="21"/>
      <c r="G38" s="21"/>
      <c r="H38" s="23" t="s">
        <v>170</v>
      </c>
      <c r="I38" s="36" t="s">
        <v>135</v>
      </c>
      <c r="J38" s="36">
        <v>83</v>
      </c>
      <c r="K38" s="36" t="s">
        <v>136</v>
      </c>
      <c r="L38" s="37">
        <v>20210406</v>
      </c>
      <c r="M38" s="21"/>
      <c r="N38" s="21"/>
      <c r="O38" s="21">
        <v>34.65</v>
      </c>
      <c r="P38" s="21">
        <v>1.32</v>
      </c>
      <c r="Q38" s="21">
        <v>0.45</v>
      </c>
      <c r="R38" s="21">
        <v>30</v>
      </c>
      <c r="S38" s="21">
        <v>1039.5999999999999</v>
      </c>
      <c r="T38" s="42">
        <v>29.442655563354492</v>
      </c>
      <c r="U38" s="43">
        <v>26.673979759216309</v>
      </c>
      <c r="V38" s="44"/>
      <c r="W38" s="44"/>
      <c r="X38" s="44">
        <v>28.359831809997559</v>
      </c>
      <c r="Y38" s="44">
        <v>26.562040328979492</v>
      </c>
      <c r="Z38" s="44">
        <v>27.925332069396973</v>
      </c>
      <c r="AA38" s="44">
        <v>25.947539329528809</v>
      </c>
      <c r="AB38" s="44">
        <v>26.252500534057617</v>
      </c>
      <c r="AC38" s="44">
        <v>26.209284782409668</v>
      </c>
      <c r="AD38" s="44">
        <v>39.316812515258789</v>
      </c>
      <c r="AE38" s="44">
        <v>28.422743797302246</v>
      </c>
      <c r="AF38" s="44">
        <v>38.270229339599609</v>
      </c>
      <c r="AG38" s="44">
        <v>26.544922828674316</v>
      </c>
      <c r="AH38" s="44">
        <v>33.709924697875977</v>
      </c>
      <c r="AI38" s="44">
        <v>26.601813316345215</v>
      </c>
      <c r="AJ38" s="44">
        <v>34.239406585693359</v>
      </c>
      <c r="AK38" s="44">
        <v>26.673598289489746</v>
      </c>
      <c r="AL38" s="44">
        <v>37.276935577392578</v>
      </c>
      <c r="AM38" s="44">
        <v>26.659738540649414</v>
      </c>
      <c r="AN38" s="48"/>
      <c r="AO38" s="27">
        <f t="shared" si="0"/>
        <v>2.7686758041381836</v>
      </c>
      <c r="AP38" s="27">
        <f t="shared" si="1"/>
        <v>1.7977914810180664</v>
      </c>
      <c r="AQ38" s="27">
        <f t="shared" si="2"/>
        <v>1.9777927398681641</v>
      </c>
      <c r="AR38" s="27">
        <f t="shared" si="3"/>
        <v>4.3215751647949219E-2</v>
      </c>
      <c r="AS38" s="27">
        <f t="shared" si="4"/>
        <v>10.894068717956543</v>
      </c>
      <c r="AT38" s="27">
        <f t="shared" si="5"/>
        <v>11.725306510925293</v>
      </c>
      <c r="AU38" s="27">
        <f t="shared" si="6"/>
        <v>7.1081113815307617</v>
      </c>
      <c r="AV38" s="27">
        <f t="shared" si="7"/>
        <v>7.5658082962036133</v>
      </c>
      <c r="AW38" s="27">
        <f t="shared" si="8"/>
        <v>10.617197036743164</v>
      </c>
      <c r="AY38" s="19">
        <v>0.39453098928825397</v>
      </c>
      <c r="AZ38" s="20"/>
    </row>
    <row r="39" spans="1:69" s="26" customFormat="1">
      <c r="A39" s="21" t="s">
        <v>143</v>
      </c>
      <c r="B39" s="21">
        <v>13</v>
      </c>
      <c r="C39" s="33">
        <v>13</v>
      </c>
      <c r="D39" s="34" t="s">
        <v>171</v>
      </c>
      <c r="E39" s="35" t="s">
        <v>172</v>
      </c>
      <c r="F39" s="21"/>
      <c r="G39" s="21"/>
      <c r="H39" s="23" t="s">
        <v>173</v>
      </c>
      <c r="I39" s="36" t="s">
        <v>135</v>
      </c>
      <c r="J39" s="36">
        <v>83</v>
      </c>
      <c r="K39" s="36" t="s">
        <v>136</v>
      </c>
      <c r="L39" s="37">
        <v>20190813</v>
      </c>
      <c r="M39" s="21"/>
      <c r="N39" s="21"/>
      <c r="O39" s="21">
        <v>46.96</v>
      </c>
      <c r="P39" s="21">
        <v>1.33</v>
      </c>
      <c r="Q39" s="21">
        <v>0.45</v>
      </c>
      <c r="R39" s="21">
        <v>30</v>
      </c>
      <c r="S39" s="21">
        <v>1408.8</v>
      </c>
      <c r="T39" s="42">
        <v>26.491237640380859</v>
      </c>
      <c r="U39" s="43">
        <v>27.635905265808105</v>
      </c>
      <c r="V39" s="44"/>
      <c r="W39" s="44"/>
      <c r="X39" s="44">
        <v>26.154788970947266</v>
      </c>
      <c r="Y39" s="44">
        <v>27.627856254577637</v>
      </c>
      <c r="Z39" s="44">
        <v>26.055638313293457</v>
      </c>
      <c r="AA39" s="44">
        <v>26.881305694580078</v>
      </c>
      <c r="AB39" s="44">
        <v>25.616582870483398</v>
      </c>
      <c r="AC39" s="44">
        <v>27.104691505432129</v>
      </c>
      <c r="AD39" s="44">
        <v>37.020336151123047</v>
      </c>
      <c r="AE39" s="44">
        <v>29.627935409545898</v>
      </c>
      <c r="AF39" s="44">
        <v>32.928041458129883</v>
      </c>
      <c r="AG39" s="44">
        <v>27.895230293273926</v>
      </c>
      <c r="AH39" s="44">
        <v>32.373001098632812</v>
      </c>
      <c r="AI39" s="44">
        <v>27.892437934875488</v>
      </c>
      <c r="AJ39" s="44">
        <v>30.36623477935791</v>
      </c>
      <c r="AK39" s="44">
        <v>27.522777557373047</v>
      </c>
      <c r="AL39" s="44">
        <v>33.269594192504883</v>
      </c>
      <c r="AM39" s="44">
        <v>27.667021751403809</v>
      </c>
      <c r="AN39" s="48"/>
      <c r="AO39" s="27">
        <f t="shared" si="0"/>
        <v>-1.1446676254272461</v>
      </c>
      <c r="AP39" s="27">
        <f t="shared" si="1"/>
        <v>-1.4730672836303711</v>
      </c>
      <c r="AQ39" s="27">
        <f t="shared" si="2"/>
        <v>-0.82566738128662109</v>
      </c>
      <c r="AR39" s="27">
        <f t="shared" si="3"/>
        <v>-1.4881086349487305</v>
      </c>
      <c r="AS39" s="27">
        <f t="shared" si="4"/>
        <v>7.3924007415771484</v>
      </c>
      <c r="AT39" s="27">
        <f t="shared" si="5"/>
        <v>5.032811164855957</v>
      </c>
      <c r="AU39" s="27">
        <f t="shared" si="6"/>
        <v>4.4805631637573242</v>
      </c>
      <c r="AV39" s="27">
        <f t="shared" si="7"/>
        <v>2.8434572219848633</v>
      </c>
      <c r="AW39" s="27">
        <f t="shared" si="8"/>
        <v>5.6025724411010742</v>
      </c>
      <c r="AY39" s="17">
        <v>0.93128144369844401</v>
      </c>
      <c r="AZ39"/>
    </row>
    <row r="40" spans="1:69" s="26" customFormat="1">
      <c r="A40" s="21" t="s">
        <v>143</v>
      </c>
      <c r="B40" s="21">
        <v>14</v>
      </c>
      <c r="C40" s="33">
        <v>14</v>
      </c>
      <c r="D40" s="34" t="s">
        <v>174</v>
      </c>
      <c r="E40" s="35" t="s">
        <v>175</v>
      </c>
      <c r="F40" s="21"/>
      <c r="G40" s="21"/>
      <c r="H40" s="23" t="s">
        <v>176</v>
      </c>
      <c r="I40" s="36" t="s">
        <v>135</v>
      </c>
      <c r="J40" s="36">
        <v>83</v>
      </c>
      <c r="K40" s="36" t="s">
        <v>136</v>
      </c>
      <c r="L40" s="37">
        <v>20200908</v>
      </c>
      <c r="M40" s="21"/>
      <c r="N40" s="21"/>
      <c r="O40" s="21">
        <v>34.04</v>
      </c>
      <c r="P40" s="21">
        <v>1.31</v>
      </c>
      <c r="Q40" s="21">
        <v>0.44</v>
      </c>
      <c r="R40" s="21">
        <v>30</v>
      </c>
      <c r="S40" s="21">
        <v>1021.2</v>
      </c>
      <c r="T40" s="42">
        <v>25.812405586242676</v>
      </c>
      <c r="U40" s="43">
        <v>26.798094749450684</v>
      </c>
      <c r="V40" s="44"/>
      <c r="W40" s="44"/>
      <c r="X40" s="44">
        <v>25.46877384185791</v>
      </c>
      <c r="Y40" s="44">
        <v>26.77252197265625</v>
      </c>
      <c r="Z40" s="44">
        <v>28.050459861755371</v>
      </c>
      <c r="AA40" s="44">
        <v>26.888137817382812</v>
      </c>
      <c r="AB40" s="44">
        <v>27.338047027587891</v>
      </c>
      <c r="AC40" s="44">
        <v>26.741901397705078</v>
      </c>
      <c r="AD40" s="44">
        <v>39.235698699951172</v>
      </c>
      <c r="AE40" s="44">
        <v>28.812609672546387</v>
      </c>
      <c r="AF40" s="44">
        <v>32.763385772705078</v>
      </c>
      <c r="AG40" s="44">
        <v>26.989950180053711</v>
      </c>
      <c r="AH40" s="44">
        <v>34.783336639404297</v>
      </c>
      <c r="AI40" s="44">
        <v>26.949934959411621</v>
      </c>
      <c r="AJ40" s="44">
        <v>29.957522392272949</v>
      </c>
      <c r="AK40" s="44">
        <v>26.798020362854004</v>
      </c>
      <c r="AL40" s="44">
        <v>34.112367630004883</v>
      </c>
      <c r="AM40" s="44">
        <v>26.944404602050781</v>
      </c>
      <c r="AN40" s="48"/>
      <c r="AO40" s="27">
        <f t="shared" si="0"/>
        <v>-0.98568916320800781</v>
      </c>
      <c r="AP40" s="27">
        <f t="shared" si="1"/>
        <v>-1.3037481307983398</v>
      </c>
      <c r="AQ40" s="27">
        <f t="shared" si="2"/>
        <v>1.1623220443725586</v>
      </c>
      <c r="AR40" s="27">
        <f t="shared" si="3"/>
        <v>0.5961456298828125</v>
      </c>
      <c r="AS40" s="27">
        <f t="shared" si="4"/>
        <v>10.423089027404785</v>
      </c>
      <c r="AT40" s="27">
        <f t="shared" si="5"/>
        <v>5.7734355926513672</v>
      </c>
      <c r="AU40" s="27">
        <f t="shared" si="6"/>
        <v>7.8334016799926758</v>
      </c>
      <c r="AV40" s="27">
        <f t="shared" si="7"/>
        <v>3.1595020294189453</v>
      </c>
      <c r="AW40" s="27">
        <f t="shared" si="8"/>
        <v>7.1679630279541016</v>
      </c>
      <c r="AY40" s="17">
        <v>0.91673419721044802</v>
      </c>
      <c r="AZ40"/>
    </row>
    <row r="41" spans="1:69" s="26" customFormat="1">
      <c r="A41" s="21" t="s">
        <v>143</v>
      </c>
      <c r="B41" s="21">
        <v>15</v>
      </c>
      <c r="C41" s="33">
        <v>15</v>
      </c>
      <c r="D41" s="34" t="s">
        <v>177</v>
      </c>
      <c r="E41" s="35" t="s">
        <v>178</v>
      </c>
      <c r="F41" s="21"/>
      <c r="G41" s="21"/>
      <c r="H41" s="23" t="s">
        <v>179</v>
      </c>
      <c r="I41" s="36" t="s">
        <v>135</v>
      </c>
      <c r="J41" s="36">
        <v>85</v>
      </c>
      <c r="K41" s="36" t="s">
        <v>136</v>
      </c>
      <c r="L41" s="37">
        <v>20201216</v>
      </c>
      <c r="M41" s="21"/>
      <c r="N41" s="21"/>
      <c r="O41" s="21">
        <v>55.44</v>
      </c>
      <c r="P41" s="21">
        <v>1.35</v>
      </c>
      <c r="Q41" s="21">
        <v>0.47</v>
      </c>
      <c r="R41" s="21">
        <v>30</v>
      </c>
      <c r="S41" s="21">
        <v>1663.3</v>
      </c>
      <c r="T41" s="42">
        <v>25.740513801574707</v>
      </c>
      <c r="U41" s="43">
        <v>27.326390266418457</v>
      </c>
      <c r="V41" s="44"/>
      <c r="W41" s="44"/>
      <c r="X41" s="44">
        <v>25.316884994506836</v>
      </c>
      <c r="Y41" s="44">
        <v>27.254513740539551</v>
      </c>
      <c r="Z41" s="44">
        <v>25.002843856811523</v>
      </c>
      <c r="AA41" s="44">
        <v>26.399323463439941</v>
      </c>
      <c r="AB41" s="44">
        <v>24.924249649047852</v>
      </c>
      <c r="AC41" s="44">
        <v>26.77394962310791</v>
      </c>
      <c r="AD41" s="44">
        <v>36.887184143066406</v>
      </c>
      <c r="AE41" s="44">
        <v>29.462189674377441</v>
      </c>
      <c r="AF41" s="44">
        <v>32.100580215454102</v>
      </c>
      <c r="AG41" s="44">
        <v>27.515898704528809</v>
      </c>
      <c r="AH41" s="44">
        <v>31.117008209228516</v>
      </c>
      <c r="AI41" s="44">
        <v>27.518310546875</v>
      </c>
      <c r="AJ41" s="44">
        <v>29.579911231994629</v>
      </c>
      <c r="AK41" s="44">
        <v>27.261868476867676</v>
      </c>
      <c r="AL41" s="44">
        <v>32.394033432006836</v>
      </c>
      <c r="AM41" s="44">
        <v>27.537884712219238</v>
      </c>
      <c r="AN41" s="48"/>
      <c r="AO41" s="27">
        <f t="shared" si="0"/>
        <v>-1.58587646484375</v>
      </c>
      <c r="AP41" s="27">
        <f t="shared" si="1"/>
        <v>-1.9376287460327148</v>
      </c>
      <c r="AQ41" s="27">
        <f t="shared" si="2"/>
        <v>-1.396479606628418</v>
      </c>
      <c r="AR41" s="27">
        <f t="shared" si="3"/>
        <v>-1.8496999740600586</v>
      </c>
      <c r="AS41" s="27">
        <f t="shared" si="4"/>
        <v>7.4249944686889648</v>
      </c>
      <c r="AT41" s="27">
        <f t="shared" si="5"/>
        <v>4.584681510925293</v>
      </c>
      <c r="AU41" s="27">
        <f t="shared" si="6"/>
        <v>3.5986976623535156</v>
      </c>
      <c r="AV41" s="27">
        <f t="shared" si="7"/>
        <v>2.3180427551269531</v>
      </c>
      <c r="AW41" s="27">
        <f t="shared" si="8"/>
        <v>4.8561487197875977</v>
      </c>
      <c r="AY41" s="17">
        <v>0.95371884390622397</v>
      </c>
      <c r="AZ41"/>
    </row>
    <row r="42" spans="1:69" s="16" customFormat="1" ht="15">
      <c r="A42" s="12" t="s">
        <v>143</v>
      </c>
      <c r="B42" s="12">
        <v>106</v>
      </c>
      <c r="C42" s="12" t="s">
        <v>189</v>
      </c>
      <c r="D42" s="12" t="s">
        <v>190</v>
      </c>
      <c r="E42" s="49" t="s">
        <v>191</v>
      </c>
      <c r="F42" s="12"/>
      <c r="G42" s="12"/>
      <c r="H42" s="12" t="s">
        <v>192</v>
      </c>
      <c r="I42" s="12" t="s">
        <v>193</v>
      </c>
      <c r="J42" s="12">
        <v>67</v>
      </c>
      <c r="K42" s="12" t="s">
        <v>194</v>
      </c>
      <c r="L42" s="50">
        <v>44134</v>
      </c>
      <c r="M42" s="12"/>
      <c r="N42" s="12"/>
      <c r="O42" s="12">
        <v>44.86</v>
      </c>
      <c r="P42" s="12">
        <v>1.41</v>
      </c>
      <c r="Q42" s="12">
        <v>0.48</v>
      </c>
      <c r="R42" s="12">
        <v>30</v>
      </c>
      <c r="S42" s="12">
        <v>1345.9</v>
      </c>
      <c r="T42" s="51">
        <v>27.99919319152832</v>
      </c>
      <c r="U42" s="51">
        <v>24.934480667114258</v>
      </c>
      <c r="V42" s="51" t="s">
        <v>195</v>
      </c>
      <c r="W42" s="51" t="s">
        <v>195</v>
      </c>
      <c r="X42" s="51">
        <v>25.466175079345703</v>
      </c>
      <c r="Y42" s="51">
        <v>24.921597480773926</v>
      </c>
      <c r="Z42" s="51">
        <v>26.453340530395508</v>
      </c>
      <c r="AA42" s="51">
        <v>24.374676704406738</v>
      </c>
      <c r="AB42" s="51">
        <v>24.636750221252441</v>
      </c>
      <c r="AC42" s="51">
        <v>24.627211570739746</v>
      </c>
      <c r="AD42" s="51">
        <v>38.619325637817383</v>
      </c>
      <c r="AE42" s="51">
        <v>26.466981887817383</v>
      </c>
      <c r="AF42" s="51">
        <v>35.757850646972656</v>
      </c>
      <c r="AG42" s="51">
        <v>24.952292442321777</v>
      </c>
      <c r="AH42" s="51">
        <v>33.321714401245117</v>
      </c>
      <c r="AI42" s="51">
        <v>24.908100128173828</v>
      </c>
      <c r="AJ42" s="51">
        <v>32.694496154785156</v>
      </c>
      <c r="AK42" s="51">
        <v>24.973536491394043</v>
      </c>
      <c r="AL42" s="51">
        <v>34.173303604125977</v>
      </c>
      <c r="AM42" s="51">
        <v>24.968091011047363</v>
      </c>
      <c r="AO42" s="18">
        <f t="shared" ref="AO42:AO56" si="9">T42-U42</f>
        <v>3.0647125244140625</v>
      </c>
      <c r="AP42" s="18">
        <f t="shared" ref="AP42:AP56" si="10">X42-Y42</f>
        <v>0.54457759857177734</v>
      </c>
      <c r="AQ42" s="18">
        <f t="shared" ref="AQ42:AQ56" si="11">Z42-AA42</f>
        <v>2.0786638259887695</v>
      </c>
      <c r="AR42" s="18">
        <f t="shared" ref="AR42:AR56" si="12">AB42-AC42</f>
        <v>9.5386505126953125E-3</v>
      </c>
      <c r="AS42" s="18">
        <f t="shared" ref="AS42:AS56" si="13">AD42-AE42</f>
        <v>12.15234375</v>
      </c>
      <c r="AT42" s="18">
        <f t="shared" ref="AT42:AT56" si="14">AF42-AG42</f>
        <v>10.805558204650879</v>
      </c>
      <c r="AU42" s="18">
        <f t="shared" ref="AU42:AU56" si="15">AH42-AI42</f>
        <v>8.4136142730712891</v>
      </c>
      <c r="AV42" s="18">
        <f t="shared" ref="AV42:AV56" si="16">AJ42-AK42</f>
        <v>7.7209596633911133</v>
      </c>
      <c r="AW42" s="18">
        <f t="shared" ref="AW42:AW56" si="17">AL42-AM42</f>
        <v>9.2052125930786133</v>
      </c>
      <c r="AX42" s="18"/>
      <c r="BI42" s="18">
        <f t="shared" ref="BI42:BI56" si="18">T42-U42</f>
        <v>3.0647125244140625</v>
      </c>
      <c r="BJ42" s="18">
        <f t="shared" ref="BJ42:BJ56" si="19">X42-Y42</f>
        <v>0.54457759857177734</v>
      </c>
      <c r="BK42" s="18">
        <f t="shared" ref="BK42:BK56" si="20">Z42-AA42</f>
        <v>2.0786638259887695</v>
      </c>
      <c r="BL42" s="18">
        <f t="shared" ref="BL42:BL56" si="21">AB42-AC42</f>
        <v>9.5386505126953125E-3</v>
      </c>
      <c r="BM42" s="18">
        <f t="shared" ref="BM42:BM56" si="22">AD42-AE42</f>
        <v>12.15234375</v>
      </c>
      <c r="BN42" s="18">
        <f t="shared" ref="BN42:BN56" si="23">AF42-AG42</f>
        <v>10.805558204650879</v>
      </c>
      <c r="BO42" s="18">
        <f t="shared" ref="BO42:BO56" si="24">AH42-AI42</f>
        <v>8.4136142730712891</v>
      </c>
      <c r="BP42" s="18">
        <f t="shared" ref="BP42:BP56" si="25">AJ42-AK42</f>
        <v>7.7209596633911133</v>
      </c>
      <c r="BQ42" s="18">
        <f t="shared" ref="BQ42:BQ56" si="26">AL42-AM42</f>
        <v>9.2052125930786133</v>
      </c>
    </row>
    <row r="43" spans="1:69" s="16" customFormat="1" ht="15">
      <c r="A43" s="12" t="s">
        <v>143</v>
      </c>
      <c r="B43" s="12">
        <v>107</v>
      </c>
      <c r="C43" s="12" t="s">
        <v>196</v>
      </c>
      <c r="D43" s="12" t="s">
        <v>197</v>
      </c>
      <c r="E43" s="49" t="s">
        <v>198</v>
      </c>
      <c r="F43" s="12"/>
      <c r="G43" s="12"/>
      <c r="H43" s="12" t="s">
        <v>199</v>
      </c>
      <c r="I43" s="12" t="s">
        <v>193</v>
      </c>
      <c r="J43" s="12">
        <v>72</v>
      </c>
      <c r="K43" s="12" t="s">
        <v>136</v>
      </c>
      <c r="L43" s="50">
        <v>44154</v>
      </c>
      <c r="M43" s="12"/>
      <c r="N43" s="12"/>
      <c r="O43" s="12">
        <v>29.91</v>
      </c>
      <c r="P43" s="12">
        <v>1.37</v>
      </c>
      <c r="Q43" s="12">
        <v>0.45</v>
      </c>
      <c r="R43" s="12">
        <v>30</v>
      </c>
      <c r="S43" s="12">
        <v>897.2</v>
      </c>
      <c r="T43" s="51">
        <v>27.710651397705078</v>
      </c>
      <c r="U43" s="51">
        <v>25.629493713378906</v>
      </c>
      <c r="V43" s="51" t="s">
        <v>195</v>
      </c>
      <c r="W43" s="51" t="s">
        <v>195</v>
      </c>
      <c r="X43" s="51">
        <v>26.070605278015137</v>
      </c>
      <c r="Y43" s="51">
        <v>25.653509140014648</v>
      </c>
      <c r="Z43" s="51">
        <v>26.462152481079102</v>
      </c>
      <c r="AA43" s="51">
        <v>24.97696590423584</v>
      </c>
      <c r="AB43" s="51">
        <v>25.554981231689453</v>
      </c>
      <c r="AC43" s="51">
        <v>25.371308326721191</v>
      </c>
      <c r="AD43" s="51">
        <v>38.925382614135742</v>
      </c>
      <c r="AE43" s="51">
        <v>27.463818550109863</v>
      </c>
      <c r="AF43" s="51">
        <v>35.606796264648438</v>
      </c>
      <c r="AG43" s="51">
        <v>25.741019248962402</v>
      </c>
      <c r="AH43" s="51">
        <v>33.984855651855469</v>
      </c>
      <c r="AI43" s="51">
        <v>25.712483406066895</v>
      </c>
      <c r="AJ43" s="51">
        <v>32.509134292602539</v>
      </c>
      <c r="AK43" s="51">
        <v>25.811493873596191</v>
      </c>
      <c r="AL43" s="51">
        <v>34.057765960693359</v>
      </c>
      <c r="AM43" s="51">
        <v>25.767212867736816</v>
      </c>
      <c r="AO43" s="18">
        <f t="shared" si="9"/>
        <v>2.0811576843261719</v>
      </c>
      <c r="AP43" s="18">
        <f t="shared" si="10"/>
        <v>0.41709613800048828</v>
      </c>
      <c r="AQ43" s="18">
        <f t="shared" si="11"/>
        <v>1.4851865768432617</v>
      </c>
      <c r="AR43" s="18">
        <f t="shared" si="12"/>
        <v>0.18367290496826172</v>
      </c>
      <c r="AS43" s="18">
        <f t="shared" si="13"/>
        <v>11.461564064025879</v>
      </c>
      <c r="AT43" s="18">
        <f t="shared" si="14"/>
        <v>9.8657770156860352</v>
      </c>
      <c r="AU43" s="18">
        <f t="shared" si="15"/>
        <v>8.2723722457885742</v>
      </c>
      <c r="AV43" s="18">
        <f t="shared" si="16"/>
        <v>6.6976404190063477</v>
      </c>
      <c r="AW43" s="18">
        <f t="shared" si="17"/>
        <v>8.290553092956543</v>
      </c>
      <c r="AX43" s="18"/>
      <c r="BI43" s="18">
        <f t="shared" si="18"/>
        <v>2.0811576843261719</v>
      </c>
      <c r="BJ43" s="18">
        <f t="shared" si="19"/>
        <v>0.41709613800048828</v>
      </c>
      <c r="BK43" s="18">
        <f t="shared" si="20"/>
        <v>1.4851865768432617</v>
      </c>
      <c r="BL43" s="18">
        <f t="shared" si="21"/>
        <v>0.18367290496826172</v>
      </c>
      <c r="BM43" s="18">
        <f t="shared" si="22"/>
        <v>11.461564064025879</v>
      </c>
      <c r="BN43" s="18">
        <f t="shared" si="23"/>
        <v>9.8657770156860352</v>
      </c>
      <c r="BO43" s="18">
        <f t="shared" si="24"/>
        <v>8.2723722457885742</v>
      </c>
      <c r="BP43" s="18">
        <f t="shared" si="25"/>
        <v>6.6976404190063477</v>
      </c>
      <c r="BQ43" s="18">
        <f t="shared" si="26"/>
        <v>8.290553092956543</v>
      </c>
    </row>
    <row r="44" spans="1:69" s="16" customFormat="1" ht="15">
      <c r="A44" s="12" t="s">
        <v>143</v>
      </c>
      <c r="B44" s="12">
        <v>108</v>
      </c>
      <c r="C44" s="12" t="s">
        <v>200</v>
      </c>
      <c r="D44" s="12" t="s">
        <v>201</v>
      </c>
      <c r="E44" s="49" t="s">
        <v>202</v>
      </c>
      <c r="F44" s="12"/>
      <c r="G44" s="12"/>
      <c r="H44" s="12" t="s">
        <v>203</v>
      </c>
      <c r="I44" s="12" t="s">
        <v>193</v>
      </c>
      <c r="J44" s="12">
        <v>56</v>
      </c>
      <c r="K44" s="12" t="s">
        <v>194</v>
      </c>
      <c r="L44" s="50">
        <v>44371</v>
      </c>
      <c r="M44" s="12"/>
      <c r="N44" s="12"/>
      <c r="O44" s="12">
        <v>48.69</v>
      </c>
      <c r="P44" s="12">
        <v>1.42</v>
      </c>
      <c r="Q44" s="12">
        <v>0.5</v>
      </c>
      <c r="R44" s="12">
        <v>30</v>
      </c>
      <c r="S44" s="12">
        <v>1460.6</v>
      </c>
      <c r="T44" s="51">
        <v>23.900424957275391</v>
      </c>
      <c r="U44" s="51">
        <v>23.756128311157227</v>
      </c>
      <c r="V44" s="51" t="s">
        <v>195</v>
      </c>
      <c r="W44" s="51" t="s">
        <v>195</v>
      </c>
      <c r="X44" s="51">
        <v>23.273733139038086</v>
      </c>
      <c r="Y44" s="51">
        <v>23.699470520019531</v>
      </c>
      <c r="Z44" s="51">
        <v>24.778034210205078</v>
      </c>
      <c r="AA44" s="51">
        <v>23.145215034484863</v>
      </c>
      <c r="AB44" s="51">
        <v>25.671375274658203</v>
      </c>
      <c r="AC44" s="51">
        <v>23.726280212402344</v>
      </c>
      <c r="AD44" s="51">
        <v>36.978326797485352</v>
      </c>
      <c r="AE44" s="51">
        <v>25.408576965332031</v>
      </c>
      <c r="AF44" s="51">
        <v>31.387290000915527</v>
      </c>
      <c r="AG44" s="51">
        <v>23.843263626098633</v>
      </c>
      <c r="AH44" s="51">
        <v>32.157899856567383</v>
      </c>
      <c r="AI44" s="51">
        <v>23.832247734069824</v>
      </c>
      <c r="AJ44" s="51">
        <v>28.429106712341309</v>
      </c>
      <c r="AK44" s="51">
        <v>23.732906341552734</v>
      </c>
      <c r="AL44" s="51">
        <v>32.316608428955078</v>
      </c>
      <c r="AM44" s="51">
        <v>23.744860649108887</v>
      </c>
      <c r="AO44" s="18">
        <f t="shared" si="9"/>
        <v>0.14429664611816406</v>
      </c>
      <c r="AP44" s="18">
        <f t="shared" si="10"/>
        <v>-0.42573738098144531</v>
      </c>
      <c r="AQ44" s="18">
        <f t="shared" si="11"/>
        <v>1.6328191757202148</v>
      </c>
      <c r="AR44" s="18">
        <f t="shared" si="12"/>
        <v>1.9450950622558594</v>
      </c>
      <c r="AS44" s="18">
        <f t="shared" si="13"/>
        <v>11.56974983215332</v>
      </c>
      <c r="AT44" s="18">
        <f t="shared" si="14"/>
        <v>7.5440263748168945</v>
      </c>
      <c r="AU44" s="18">
        <f t="shared" si="15"/>
        <v>8.3256521224975586</v>
      </c>
      <c r="AV44" s="18">
        <f t="shared" si="16"/>
        <v>4.6962003707885742</v>
      </c>
      <c r="AW44" s="18">
        <f t="shared" si="17"/>
        <v>8.5717477798461914</v>
      </c>
      <c r="AX44" s="18"/>
      <c r="BI44" s="18">
        <f t="shared" si="18"/>
        <v>0.14429664611816406</v>
      </c>
      <c r="BJ44" s="18">
        <f t="shared" si="19"/>
        <v>-0.42573738098144531</v>
      </c>
      <c r="BK44" s="18">
        <f t="shared" si="20"/>
        <v>1.6328191757202148</v>
      </c>
      <c r="BL44" s="18">
        <f t="shared" si="21"/>
        <v>1.9450950622558594</v>
      </c>
      <c r="BM44" s="18">
        <f t="shared" si="22"/>
        <v>11.56974983215332</v>
      </c>
      <c r="BN44" s="18">
        <f t="shared" si="23"/>
        <v>7.5440263748168945</v>
      </c>
      <c r="BO44" s="18">
        <f t="shared" si="24"/>
        <v>8.3256521224975586</v>
      </c>
      <c r="BP44" s="18">
        <f t="shared" si="25"/>
        <v>4.6962003707885742</v>
      </c>
      <c r="BQ44" s="18">
        <f t="shared" si="26"/>
        <v>8.5717477798461914</v>
      </c>
    </row>
    <row r="45" spans="1:69" s="16" customFormat="1" ht="15">
      <c r="A45" s="12" t="s">
        <v>143</v>
      </c>
      <c r="B45" s="12">
        <v>109</v>
      </c>
      <c r="C45" s="12" t="s">
        <v>204</v>
      </c>
      <c r="D45" s="12" t="s">
        <v>205</v>
      </c>
      <c r="E45" s="49" t="s">
        <v>206</v>
      </c>
      <c r="F45" s="12"/>
      <c r="G45" s="12"/>
      <c r="H45" s="12" t="s">
        <v>207</v>
      </c>
      <c r="I45" s="12" t="s">
        <v>193</v>
      </c>
      <c r="J45" s="12">
        <v>74</v>
      </c>
      <c r="K45" s="12" t="s">
        <v>194</v>
      </c>
      <c r="L45" s="50">
        <v>44440</v>
      </c>
      <c r="M45" s="12"/>
      <c r="N45" s="12"/>
      <c r="O45" s="12">
        <v>23.8</v>
      </c>
      <c r="P45" s="12">
        <v>1.32</v>
      </c>
      <c r="Q45" s="12">
        <v>0.42</v>
      </c>
      <c r="R45" s="12">
        <v>30</v>
      </c>
      <c r="S45" s="12">
        <v>714.1</v>
      </c>
      <c r="T45" s="51">
        <v>27.935264587402344</v>
      </c>
      <c r="U45" s="51">
        <v>25.565129280090332</v>
      </c>
      <c r="V45" s="51" t="s">
        <v>195</v>
      </c>
      <c r="W45" s="51" t="s">
        <v>195</v>
      </c>
      <c r="X45" s="51">
        <v>26.684160232543945</v>
      </c>
      <c r="Y45" s="51">
        <v>25.506803512573242</v>
      </c>
      <c r="Z45" s="51">
        <v>25.912448883056641</v>
      </c>
      <c r="AA45" s="51">
        <v>24.769036293029785</v>
      </c>
      <c r="AB45" s="51">
        <v>26.278644561767578</v>
      </c>
      <c r="AC45" s="51">
        <v>25.427907943725586</v>
      </c>
      <c r="AD45" s="51">
        <v>38.706230163574219</v>
      </c>
      <c r="AE45" s="51">
        <v>27.184864044189453</v>
      </c>
      <c r="AF45" s="51">
        <v>35.940132141113281</v>
      </c>
      <c r="AG45" s="51">
        <v>25.621913909912109</v>
      </c>
      <c r="AH45" s="51">
        <v>34.731561660766602</v>
      </c>
      <c r="AI45" s="51">
        <v>25.595040321350098</v>
      </c>
      <c r="AJ45" s="51">
        <v>31.609333992004395</v>
      </c>
      <c r="AK45" s="51">
        <v>25.619454383850098</v>
      </c>
      <c r="AL45" s="51">
        <v>34.748245239257812</v>
      </c>
      <c r="AM45" s="51">
        <v>25.580392837524414</v>
      </c>
      <c r="AO45" s="18">
        <f t="shared" si="9"/>
        <v>2.3701353073120117</v>
      </c>
      <c r="AP45" s="18">
        <f t="shared" si="10"/>
        <v>1.1773567199707031</v>
      </c>
      <c r="AQ45" s="18">
        <f t="shared" si="11"/>
        <v>1.1434125900268555</v>
      </c>
      <c r="AR45" s="18">
        <f t="shared" si="12"/>
        <v>0.85073661804199219</v>
      </c>
      <c r="AS45" s="18">
        <f t="shared" si="13"/>
        <v>11.521366119384766</v>
      </c>
      <c r="AT45" s="18">
        <f t="shared" si="14"/>
        <v>10.318218231201172</v>
      </c>
      <c r="AU45" s="18">
        <f t="shared" si="15"/>
        <v>9.1365213394165039</v>
      </c>
      <c r="AV45" s="18">
        <f t="shared" si="16"/>
        <v>5.9898796081542969</v>
      </c>
      <c r="AW45" s="18">
        <f t="shared" si="17"/>
        <v>9.1678524017333984</v>
      </c>
      <c r="AX45" s="18"/>
      <c r="BI45" s="18">
        <f t="shared" si="18"/>
        <v>2.3701353073120117</v>
      </c>
      <c r="BJ45" s="18">
        <f t="shared" si="19"/>
        <v>1.1773567199707031</v>
      </c>
      <c r="BK45" s="18">
        <f t="shared" si="20"/>
        <v>1.1434125900268555</v>
      </c>
      <c r="BL45" s="18">
        <f t="shared" si="21"/>
        <v>0.85073661804199219</v>
      </c>
      <c r="BM45" s="18">
        <f t="shared" si="22"/>
        <v>11.521366119384766</v>
      </c>
      <c r="BN45" s="18">
        <f t="shared" si="23"/>
        <v>10.318218231201172</v>
      </c>
      <c r="BO45" s="18">
        <f t="shared" si="24"/>
        <v>9.1365213394165039</v>
      </c>
      <c r="BP45" s="18">
        <f t="shared" si="25"/>
        <v>5.9898796081542969</v>
      </c>
      <c r="BQ45" s="18">
        <f t="shared" si="26"/>
        <v>9.1678524017333984</v>
      </c>
    </row>
    <row r="46" spans="1:69" s="16" customFormat="1" ht="15">
      <c r="A46" s="12" t="s">
        <v>143</v>
      </c>
      <c r="B46" s="12">
        <v>110</v>
      </c>
      <c r="C46" s="12" t="s">
        <v>208</v>
      </c>
      <c r="D46" s="12" t="s">
        <v>209</v>
      </c>
      <c r="E46" s="49" t="s">
        <v>210</v>
      </c>
      <c r="F46" s="12"/>
      <c r="G46" s="12"/>
      <c r="H46" s="12" t="s">
        <v>211</v>
      </c>
      <c r="I46" s="12" t="s">
        <v>193</v>
      </c>
      <c r="J46" s="12">
        <v>58</v>
      </c>
      <c r="K46" s="12" t="s">
        <v>194</v>
      </c>
      <c r="L46" s="50">
        <v>44518</v>
      </c>
      <c r="M46" s="12"/>
      <c r="N46" s="12"/>
      <c r="O46" s="12">
        <v>51.1</v>
      </c>
      <c r="P46" s="12">
        <v>1.41</v>
      </c>
      <c r="Q46" s="12">
        <v>0.5</v>
      </c>
      <c r="R46" s="12">
        <v>30</v>
      </c>
      <c r="S46" s="12">
        <v>1533</v>
      </c>
      <c r="T46" s="51">
        <v>28.077183723449707</v>
      </c>
      <c r="U46" s="51">
        <v>25.622065544128418</v>
      </c>
      <c r="V46" s="51" t="s">
        <v>195</v>
      </c>
      <c r="W46" s="51" t="s">
        <v>195</v>
      </c>
      <c r="X46" s="51">
        <v>26.219075202941895</v>
      </c>
      <c r="Y46" s="51">
        <v>25.595159530639648</v>
      </c>
      <c r="Z46" s="51">
        <v>26.454635620117188</v>
      </c>
      <c r="AA46" s="51">
        <v>24.940939903259277</v>
      </c>
      <c r="AB46" s="51">
        <v>26.678460121154785</v>
      </c>
      <c r="AC46" s="51">
        <v>25.393081665039062</v>
      </c>
      <c r="AD46" s="51">
        <v>40</v>
      </c>
      <c r="AE46" s="51">
        <v>27.243732452392578</v>
      </c>
      <c r="AF46" s="51">
        <v>36.20014762878418</v>
      </c>
      <c r="AG46" s="51">
        <v>25.661114692687988</v>
      </c>
      <c r="AH46" s="51">
        <v>35.280969619750977</v>
      </c>
      <c r="AI46" s="51">
        <v>25.597918510437012</v>
      </c>
      <c r="AJ46" s="51">
        <v>32.858854293823242</v>
      </c>
      <c r="AK46" s="51">
        <v>25.67540168762207</v>
      </c>
      <c r="AL46" s="51">
        <v>34.739358901977539</v>
      </c>
      <c r="AM46" s="51">
        <v>25.705648422241211</v>
      </c>
      <c r="AO46" s="18">
        <f t="shared" si="9"/>
        <v>2.4551181793212891</v>
      </c>
      <c r="AP46" s="18">
        <f t="shared" si="10"/>
        <v>0.62391567230224609</v>
      </c>
      <c r="AQ46" s="18">
        <f t="shared" si="11"/>
        <v>1.5136957168579102</v>
      </c>
      <c r="AR46" s="18">
        <f t="shared" si="12"/>
        <v>1.2853784561157227</v>
      </c>
      <c r="AS46" s="18">
        <f t="shared" si="13"/>
        <v>12.756267547607422</v>
      </c>
      <c r="AT46" s="18">
        <f t="shared" si="14"/>
        <v>10.539032936096191</v>
      </c>
      <c r="AU46" s="18">
        <f t="shared" si="15"/>
        <v>9.6830511093139648</v>
      </c>
      <c r="AV46" s="18">
        <f t="shared" si="16"/>
        <v>7.1834526062011719</v>
      </c>
      <c r="AW46" s="18">
        <f t="shared" si="17"/>
        <v>9.0337104797363281</v>
      </c>
      <c r="AX46" s="18"/>
      <c r="BI46" s="18">
        <f t="shared" si="18"/>
        <v>2.4551181793212891</v>
      </c>
      <c r="BJ46" s="18">
        <f t="shared" si="19"/>
        <v>0.62391567230224609</v>
      </c>
      <c r="BK46" s="18">
        <f t="shared" si="20"/>
        <v>1.5136957168579102</v>
      </c>
      <c r="BL46" s="18">
        <f t="shared" si="21"/>
        <v>1.2853784561157227</v>
      </c>
      <c r="BM46" s="18">
        <f t="shared" si="22"/>
        <v>12.756267547607422</v>
      </c>
      <c r="BN46" s="18">
        <f t="shared" si="23"/>
        <v>10.539032936096191</v>
      </c>
      <c r="BO46" s="18">
        <f t="shared" si="24"/>
        <v>9.6830511093139648</v>
      </c>
      <c r="BP46" s="18">
        <f t="shared" si="25"/>
        <v>7.1834526062011719</v>
      </c>
      <c r="BQ46" s="18">
        <f t="shared" si="26"/>
        <v>9.0337104797363281</v>
      </c>
    </row>
    <row r="47" spans="1:69" s="16" customFormat="1" ht="15">
      <c r="A47" s="12" t="s">
        <v>143</v>
      </c>
      <c r="B47" s="12">
        <v>111</v>
      </c>
      <c r="C47" s="12" t="s">
        <v>212</v>
      </c>
      <c r="D47" s="12" t="s">
        <v>213</v>
      </c>
      <c r="E47" s="49" t="s">
        <v>214</v>
      </c>
      <c r="F47" s="12"/>
      <c r="G47" s="12"/>
      <c r="H47" s="12" t="s">
        <v>215</v>
      </c>
      <c r="I47" s="12" t="s">
        <v>193</v>
      </c>
      <c r="J47" s="12">
        <v>68</v>
      </c>
      <c r="K47" s="12" t="s">
        <v>194</v>
      </c>
      <c r="L47" s="50">
        <v>45190</v>
      </c>
      <c r="M47" s="12"/>
      <c r="N47" s="12"/>
      <c r="O47" s="12">
        <v>30.75</v>
      </c>
      <c r="P47" s="12">
        <v>1.37</v>
      </c>
      <c r="Q47" s="12">
        <v>0.43</v>
      </c>
      <c r="R47" s="12">
        <v>30</v>
      </c>
      <c r="S47" s="12">
        <v>922.6</v>
      </c>
      <c r="T47" s="51">
        <v>28.049845695495605</v>
      </c>
      <c r="U47" s="51">
        <v>25.376493453979492</v>
      </c>
      <c r="V47" s="51" t="s">
        <v>195</v>
      </c>
      <c r="W47" s="51" t="s">
        <v>195</v>
      </c>
      <c r="X47" s="51">
        <v>26.552714347839355</v>
      </c>
      <c r="Y47" s="51">
        <v>25.345427513122559</v>
      </c>
      <c r="Z47" s="51">
        <v>26.345987319946289</v>
      </c>
      <c r="AA47" s="51">
        <v>24.719074249267578</v>
      </c>
      <c r="AB47" s="51">
        <v>25.645350456237793</v>
      </c>
      <c r="AC47" s="51">
        <v>25.090306282043457</v>
      </c>
      <c r="AD47" s="51">
        <v>39.171236038208008</v>
      </c>
      <c r="AE47" s="51">
        <v>27.153388023376465</v>
      </c>
      <c r="AF47" s="51">
        <v>36.627616882324219</v>
      </c>
      <c r="AG47" s="51">
        <v>25.392183303833008</v>
      </c>
      <c r="AH47" s="51">
        <v>33.611427307128906</v>
      </c>
      <c r="AI47" s="51">
        <v>25.318802833557129</v>
      </c>
      <c r="AJ47" s="51">
        <v>32.741039276123047</v>
      </c>
      <c r="AK47" s="51">
        <v>25.539905548095703</v>
      </c>
      <c r="AL47" s="51">
        <v>35.30735969543457</v>
      </c>
      <c r="AM47" s="51">
        <v>25.37672233581543</v>
      </c>
      <c r="AO47" s="18">
        <f t="shared" si="9"/>
        <v>2.6733522415161133</v>
      </c>
      <c r="AP47" s="18">
        <f t="shared" si="10"/>
        <v>1.2072868347167969</v>
      </c>
      <c r="AQ47" s="18">
        <f t="shared" si="11"/>
        <v>1.6269130706787109</v>
      </c>
      <c r="AR47" s="18">
        <f t="shared" si="12"/>
        <v>0.55504417419433594</v>
      </c>
      <c r="AS47" s="18">
        <f t="shared" si="13"/>
        <v>12.017848014831543</v>
      </c>
      <c r="AT47" s="18">
        <f t="shared" si="14"/>
        <v>11.235433578491211</v>
      </c>
      <c r="AU47" s="18">
        <f t="shared" si="15"/>
        <v>8.2926244735717773</v>
      </c>
      <c r="AV47" s="18">
        <f t="shared" si="16"/>
        <v>7.2011337280273438</v>
      </c>
      <c r="AW47" s="18">
        <f t="shared" si="17"/>
        <v>9.9306373596191406</v>
      </c>
      <c r="AX47" s="18"/>
      <c r="BI47" s="18">
        <f t="shared" si="18"/>
        <v>2.6733522415161133</v>
      </c>
      <c r="BJ47" s="18">
        <f t="shared" si="19"/>
        <v>1.2072868347167969</v>
      </c>
      <c r="BK47" s="18">
        <f t="shared" si="20"/>
        <v>1.6269130706787109</v>
      </c>
      <c r="BL47" s="18">
        <f t="shared" si="21"/>
        <v>0.55504417419433594</v>
      </c>
      <c r="BM47" s="18">
        <f t="shared" si="22"/>
        <v>12.017848014831543</v>
      </c>
      <c r="BN47" s="18">
        <f t="shared" si="23"/>
        <v>11.235433578491211</v>
      </c>
      <c r="BO47" s="18">
        <f t="shared" si="24"/>
        <v>8.2926244735717773</v>
      </c>
      <c r="BP47" s="18">
        <f t="shared" si="25"/>
        <v>7.2011337280273438</v>
      </c>
      <c r="BQ47" s="18">
        <f t="shared" si="26"/>
        <v>9.9306373596191406</v>
      </c>
    </row>
    <row r="48" spans="1:69" s="16" customFormat="1" ht="15">
      <c r="A48" s="12" t="s">
        <v>143</v>
      </c>
      <c r="B48" s="12">
        <v>112</v>
      </c>
      <c r="C48" s="12" t="s">
        <v>216</v>
      </c>
      <c r="D48" s="12" t="s">
        <v>217</v>
      </c>
      <c r="E48" s="49" t="s">
        <v>218</v>
      </c>
      <c r="F48" s="12"/>
      <c r="G48" s="12"/>
      <c r="H48" s="12" t="s">
        <v>219</v>
      </c>
      <c r="I48" s="12" t="s">
        <v>193</v>
      </c>
      <c r="J48" s="52" t="s">
        <v>220</v>
      </c>
      <c r="K48" s="52" t="s">
        <v>136</v>
      </c>
      <c r="L48" s="50" t="s">
        <v>221</v>
      </c>
      <c r="M48" s="12"/>
      <c r="N48" s="12"/>
      <c r="O48" s="12">
        <v>39.22</v>
      </c>
      <c r="P48" s="12">
        <v>1.39</v>
      </c>
      <c r="Q48" s="12">
        <v>0.47</v>
      </c>
      <c r="R48" s="12">
        <v>30</v>
      </c>
      <c r="S48" s="12">
        <v>1176.5</v>
      </c>
      <c r="T48" s="51">
        <v>27.554132461547852</v>
      </c>
      <c r="U48" s="51">
        <v>25.804936408996582</v>
      </c>
      <c r="V48" s="51" t="s">
        <v>195</v>
      </c>
      <c r="W48" s="51" t="s">
        <v>195</v>
      </c>
      <c r="X48" s="51">
        <v>26.847853660583496</v>
      </c>
      <c r="Y48" s="51">
        <v>25.608665466308594</v>
      </c>
      <c r="Z48" s="51">
        <v>26.621423721313477</v>
      </c>
      <c r="AA48" s="51">
        <v>25.068411827087402</v>
      </c>
      <c r="AB48" s="51">
        <v>26.339818954467773</v>
      </c>
      <c r="AC48" s="51">
        <v>25.571425437927246</v>
      </c>
      <c r="AD48" s="51">
        <v>39.380033493041992</v>
      </c>
      <c r="AE48" s="51">
        <v>27.737407684326172</v>
      </c>
      <c r="AF48" s="51">
        <v>36.23760986328125</v>
      </c>
      <c r="AG48" s="51">
        <v>25.797975540161133</v>
      </c>
      <c r="AH48" s="51">
        <v>34.309125900268555</v>
      </c>
      <c r="AI48" s="51">
        <v>25.951647758483887</v>
      </c>
      <c r="AJ48" s="51">
        <v>31.916044235229492</v>
      </c>
      <c r="AK48" s="51">
        <v>25.963852882385254</v>
      </c>
      <c r="AL48" s="51">
        <v>35.746992111206055</v>
      </c>
      <c r="AM48" s="51">
        <v>25.837514877319336</v>
      </c>
      <c r="AO48" s="18">
        <f t="shared" si="9"/>
        <v>1.7491960525512695</v>
      </c>
      <c r="AP48" s="18">
        <f t="shared" si="10"/>
        <v>1.2391881942749023</v>
      </c>
      <c r="AQ48" s="18">
        <f t="shared" si="11"/>
        <v>1.5530118942260742</v>
      </c>
      <c r="AR48" s="18">
        <f t="shared" si="12"/>
        <v>0.76839351654052734</v>
      </c>
      <c r="AS48" s="18">
        <f t="shared" si="13"/>
        <v>11.64262580871582</v>
      </c>
      <c r="AT48" s="18">
        <f t="shared" si="14"/>
        <v>10.439634323120117</v>
      </c>
      <c r="AU48" s="18">
        <f t="shared" si="15"/>
        <v>8.357478141784668</v>
      </c>
      <c r="AV48" s="18">
        <f t="shared" si="16"/>
        <v>5.9521913528442383</v>
      </c>
      <c r="AW48" s="18">
        <f t="shared" si="17"/>
        <v>9.9094772338867188</v>
      </c>
      <c r="AX48" s="18"/>
      <c r="BI48" s="18">
        <f t="shared" si="18"/>
        <v>1.7491960525512695</v>
      </c>
      <c r="BJ48" s="18">
        <f t="shared" si="19"/>
        <v>1.2391881942749023</v>
      </c>
      <c r="BK48" s="18">
        <f t="shared" si="20"/>
        <v>1.5530118942260742</v>
      </c>
      <c r="BL48" s="18">
        <f t="shared" si="21"/>
        <v>0.76839351654052734</v>
      </c>
      <c r="BM48" s="18">
        <f t="shared" si="22"/>
        <v>11.64262580871582</v>
      </c>
      <c r="BN48" s="18">
        <f t="shared" si="23"/>
        <v>10.439634323120117</v>
      </c>
      <c r="BO48" s="18">
        <f t="shared" si="24"/>
        <v>8.357478141784668</v>
      </c>
      <c r="BP48" s="18">
        <f t="shared" si="25"/>
        <v>5.9521913528442383</v>
      </c>
      <c r="BQ48" s="18">
        <f t="shared" si="26"/>
        <v>9.9094772338867188</v>
      </c>
    </row>
    <row r="49" spans="1:69" s="16" customFormat="1" ht="15">
      <c r="A49" s="12" t="s">
        <v>143</v>
      </c>
      <c r="B49" s="12">
        <v>113</v>
      </c>
      <c r="C49" s="12" t="s">
        <v>222</v>
      </c>
      <c r="D49" s="12" t="s">
        <v>217</v>
      </c>
      <c r="E49" s="49" t="s">
        <v>218</v>
      </c>
      <c r="F49" s="12"/>
      <c r="G49" s="12"/>
      <c r="H49" s="12" t="s">
        <v>223</v>
      </c>
      <c r="I49" s="12" t="s">
        <v>193</v>
      </c>
      <c r="J49" s="52" t="s">
        <v>220</v>
      </c>
      <c r="K49" s="52" t="s">
        <v>136</v>
      </c>
      <c r="L49" s="50" t="s">
        <v>221</v>
      </c>
      <c r="M49" s="12"/>
      <c r="N49" s="12"/>
      <c r="O49" s="12">
        <v>19.04</v>
      </c>
      <c r="P49" s="12">
        <v>1.32</v>
      </c>
      <c r="Q49" s="12">
        <v>0.43</v>
      </c>
      <c r="R49" s="12">
        <v>30</v>
      </c>
      <c r="S49" s="12">
        <v>571.20000000000005</v>
      </c>
      <c r="T49" s="51">
        <v>27.911803245544434</v>
      </c>
      <c r="U49" s="51">
        <v>25.888672828674316</v>
      </c>
      <c r="V49" s="51" t="s">
        <v>195</v>
      </c>
      <c r="W49" s="51" t="s">
        <v>195</v>
      </c>
      <c r="X49" s="51">
        <v>26.202402114868164</v>
      </c>
      <c r="Y49" s="51">
        <v>25.932476043701172</v>
      </c>
      <c r="Z49" s="51">
        <v>26.875400543212891</v>
      </c>
      <c r="AA49" s="51">
        <v>25.277359008789062</v>
      </c>
      <c r="AB49" s="51">
        <v>26.599519729614258</v>
      </c>
      <c r="AC49" s="51">
        <v>25.795326232910156</v>
      </c>
      <c r="AD49" s="51">
        <v>39.671854019165039</v>
      </c>
      <c r="AE49" s="51">
        <v>27.854128837585449</v>
      </c>
      <c r="AF49" s="51">
        <v>36.483285903930664</v>
      </c>
      <c r="AG49" s="51">
        <v>25.989492416381836</v>
      </c>
      <c r="AH49" s="51">
        <v>34.621383666992188</v>
      </c>
      <c r="AI49" s="51">
        <v>25.961677551269531</v>
      </c>
      <c r="AJ49" s="51">
        <v>32.299598693847656</v>
      </c>
      <c r="AK49" s="51">
        <v>26.02918815612793</v>
      </c>
      <c r="AL49" s="51">
        <v>35.115007400512695</v>
      </c>
      <c r="AM49" s="51">
        <v>25.737720489501953</v>
      </c>
      <c r="AO49" s="18">
        <f t="shared" si="9"/>
        <v>2.0231304168701172</v>
      </c>
      <c r="AP49" s="18">
        <f t="shared" si="10"/>
        <v>0.26992607116699219</v>
      </c>
      <c r="AQ49" s="18">
        <f t="shared" si="11"/>
        <v>1.5980415344238281</v>
      </c>
      <c r="AR49" s="18">
        <f t="shared" si="12"/>
        <v>0.80419349670410156</v>
      </c>
      <c r="AS49" s="18">
        <f t="shared" si="13"/>
        <v>11.81772518157959</v>
      </c>
      <c r="AT49" s="18">
        <f t="shared" si="14"/>
        <v>10.493793487548828</v>
      </c>
      <c r="AU49" s="18">
        <f t="shared" si="15"/>
        <v>8.6597061157226562</v>
      </c>
      <c r="AV49" s="18">
        <f t="shared" si="16"/>
        <v>6.2704105377197266</v>
      </c>
      <c r="AW49" s="18">
        <f t="shared" si="17"/>
        <v>9.3772869110107422</v>
      </c>
      <c r="AX49" s="18"/>
      <c r="BI49" s="18">
        <f t="shared" si="18"/>
        <v>2.0231304168701172</v>
      </c>
      <c r="BJ49" s="18">
        <f t="shared" si="19"/>
        <v>0.26992607116699219</v>
      </c>
      <c r="BK49" s="18">
        <f t="shared" si="20"/>
        <v>1.5980415344238281</v>
      </c>
      <c r="BL49" s="18">
        <f t="shared" si="21"/>
        <v>0.80419349670410156</v>
      </c>
      <c r="BM49" s="18">
        <f t="shared" si="22"/>
        <v>11.81772518157959</v>
      </c>
      <c r="BN49" s="18">
        <f t="shared" si="23"/>
        <v>10.493793487548828</v>
      </c>
      <c r="BO49" s="18">
        <f t="shared" si="24"/>
        <v>8.6597061157226562</v>
      </c>
      <c r="BP49" s="18">
        <f t="shared" si="25"/>
        <v>6.2704105377197266</v>
      </c>
      <c r="BQ49" s="18">
        <f t="shared" si="26"/>
        <v>9.3772869110107422</v>
      </c>
    </row>
    <row r="50" spans="1:69" s="16" customFormat="1" ht="15">
      <c r="A50" s="12" t="s">
        <v>143</v>
      </c>
      <c r="B50" s="12">
        <v>114</v>
      </c>
      <c r="C50" s="12" t="s">
        <v>224</v>
      </c>
      <c r="D50" s="12" t="s">
        <v>225</v>
      </c>
      <c r="E50" s="49" t="s">
        <v>226</v>
      </c>
      <c r="F50" s="12"/>
      <c r="G50" s="12"/>
      <c r="H50" s="12" t="s">
        <v>227</v>
      </c>
      <c r="I50" s="12" t="s">
        <v>193</v>
      </c>
      <c r="J50" s="52" t="s">
        <v>228</v>
      </c>
      <c r="K50" s="52" t="s">
        <v>136</v>
      </c>
      <c r="L50" s="50" t="s">
        <v>229</v>
      </c>
      <c r="M50" s="12"/>
      <c r="N50" s="12"/>
      <c r="O50" s="12">
        <v>18.760000000000002</v>
      </c>
      <c r="P50" s="12">
        <v>1.33</v>
      </c>
      <c r="Q50" s="12">
        <v>0.43</v>
      </c>
      <c r="R50" s="12">
        <v>30</v>
      </c>
      <c r="S50" s="12">
        <v>562.79999999999995</v>
      </c>
      <c r="T50" s="51">
        <v>26.525813102722168</v>
      </c>
      <c r="U50" s="51">
        <v>25.716724395751953</v>
      </c>
      <c r="V50" s="51" t="s">
        <v>195</v>
      </c>
      <c r="W50" s="51" t="s">
        <v>195</v>
      </c>
      <c r="X50" s="51">
        <v>25.896806716918945</v>
      </c>
      <c r="Y50" s="51">
        <v>25.724444389343262</v>
      </c>
      <c r="Z50" s="51">
        <v>26.811049461364746</v>
      </c>
      <c r="AA50" s="51">
        <v>25.05180549621582</v>
      </c>
      <c r="AB50" s="51">
        <v>26.223611831665039</v>
      </c>
      <c r="AC50" s="51">
        <v>25.370951652526855</v>
      </c>
      <c r="AD50" s="51">
        <v>39.334417343139648</v>
      </c>
      <c r="AE50" s="51">
        <v>27.559914588928223</v>
      </c>
      <c r="AF50" s="51">
        <v>34.462848663330078</v>
      </c>
      <c r="AG50" s="51">
        <v>25.774468421936035</v>
      </c>
      <c r="AH50" s="51">
        <v>35.090848922729492</v>
      </c>
      <c r="AI50" s="51">
        <v>25.818415641784668</v>
      </c>
      <c r="AJ50" s="51">
        <v>31.303956985473633</v>
      </c>
      <c r="AK50" s="51">
        <v>25.784807205200195</v>
      </c>
      <c r="AL50" s="51">
        <v>35.111183166503906</v>
      </c>
      <c r="AM50" s="51">
        <v>25.606204032897949</v>
      </c>
      <c r="AO50" s="18">
        <f t="shared" si="9"/>
        <v>0.80908870697021484</v>
      </c>
      <c r="AP50" s="18">
        <f t="shared" si="10"/>
        <v>0.17236232757568359</v>
      </c>
      <c r="AQ50" s="18">
        <f t="shared" si="11"/>
        <v>1.7592439651489258</v>
      </c>
      <c r="AR50" s="18">
        <f t="shared" si="12"/>
        <v>0.85266017913818359</v>
      </c>
      <c r="AS50" s="18">
        <f t="shared" si="13"/>
        <v>11.774502754211426</v>
      </c>
      <c r="AT50" s="18">
        <f t="shared" si="14"/>
        <v>8.688380241394043</v>
      </c>
      <c r="AU50" s="18">
        <f t="shared" si="15"/>
        <v>9.2724332809448242</v>
      </c>
      <c r="AV50" s="18">
        <f t="shared" si="16"/>
        <v>5.5191497802734375</v>
      </c>
      <c r="AW50" s="18">
        <f t="shared" si="17"/>
        <v>9.504979133605957</v>
      </c>
      <c r="AX50" s="18"/>
      <c r="BI50" s="18">
        <f t="shared" si="18"/>
        <v>0.80908870697021484</v>
      </c>
      <c r="BJ50" s="18">
        <f t="shared" si="19"/>
        <v>0.17236232757568359</v>
      </c>
      <c r="BK50" s="18">
        <f t="shared" si="20"/>
        <v>1.7592439651489258</v>
      </c>
      <c r="BL50" s="18">
        <f t="shared" si="21"/>
        <v>0.85266017913818359</v>
      </c>
      <c r="BM50" s="18">
        <f t="shared" si="22"/>
        <v>11.774502754211426</v>
      </c>
      <c r="BN50" s="18">
        <f t="shared" si="23"/>
        <v>8.688380241394043</v>
      </c>
      <c r="BO50" s="18">
        <f t="shared" si="24"/>
        <v>9.2724332809448242</v>
      </c>
      <c r="BP50" s="18">
        <f t="shared" si="25"/>
        <v>5.5191497802734375</v>
      </c>
      <c r="BQ50" s="18">
        <f t="shared" si="26"/>
        <v>9.504979133605957</v>
      </c>
    </row>
    <row r="51" spans="1:69" s="16" customFormat="1" ht="15">
      <c r="A51" s="12" t="s">
        <v>143</v>
      </c>
      <c r="B51" s="12">
        <v>115</v>
      </c>
      <c r="C51" s="12" t="s">
        <v>230</v>
      </c>
      <c r="D51" s="12" t="s">
        <v>225</v>
      </c>
      <c r="E51" s="49" t="s">
        <v>226</v>
      </c>
      <c r="F51" s="12"/>
      <c r="G51" s="12"/>
      <c r="H51" s="12" t="s">
        <v>231</v>
      </c>
      <c r="I51" s="12" t="s">
        <v>193</v>
      </c>
      <c r="J51" s="52" t="s">
        <v>228</v>
      </c>
      <c r="K51" s="52" t="s">
        <v>136</v>
      </c>
      <c r="L51" s="50" t="s">
        <v>229</v>
      </c>
      <c r="M51" s="12"/>
      <c r="N51" s="12"/>
      <c r="O51" s="12">
        <v>20.7</v>
      </c>
      <c r="P51" s="12">
        <v>1.31</v>
      </c>
      <c r="Q51" s="12">
        <v>0.41</v>
      </c>
      <c r="R51" s="12">
        <v>30</v>
      </c>
      <c r="S51" s="12">
        <v>621</v>
      </c>
      <c r="T51" s="51">
        <v>28.168785095214844</v>
      </c>
      <c r="U51" s="51">
        <v>25.765518188476562</v>
      </c>
      <c r="V51" s="51" t="s">
        <v>195</v>
      </c>
      <c r="W51" s="51" t="s">
        <v>195</v>
      </c>
      <c r="X51" s="51">
        <v>25.766737937927246</v>
      </c>
      <c r="Y51" s="51">
        <v>25.832306861877441</v>
      </c>
      <c r="Z51" s="51">
        <v>26.696047782897949</v>
      </c>
      <c r="AA51" s="51">
        <v>25.083930969238281</v>
      </c>
      <c r="AB51" s="51">
        <v>26.489494323730469</v>
      </c>
      <c r="AC51" s="51">
        <v>25.571351051330566</v>
      </c>
      <c r="AD51" s="51">
        <v>40</v>
      </c>
      <c r="AE51" s="51">
        <v>27.561010360717773</v>
      </c>
      <c r="AF51" s="51">
        <v>37.536626815795898</v>
      </c>
      <c r="AG51" s="51">
        <v>25.945954322814941</v>
      </c>
      <c r="AH51" s="51">
        <v>34.699594497680664</v>
      </c>
      <c r="AI51" s="51">
        <v>25.802404403686523</v>
      </c>
      <c r="AJ51" s="51">
        <v>32.652362823486328</v>
      </c>
      <c r="AK51" s="51">
        <v>25.968847274780273</v>
      </c>
      <c r="AL51" s="51">
        <v>36.043909072875977</v>
      </c>
      <c r="AM51" s="51">
        <v>25.975388526916504</v>
      </c>
      <c r="AO51" s="18">
        <f t="shared" si="9"/>
        <v>2.4032669067382812</v>
      </c>
      <c r="AP51" s="18">
        <f t="shared" si="10"/>
        <v>-6.5568923950195312E-2</v>
      </c>
      <c r="AQ51" s="18">
        <f t="shared" si="11"/>
        <v>1.612116813659668</v>
      </c>
      <c r="AR51" s="18">
        <f t="shared" si="12"/>
        <v>0.91814327239990234</v>
      </c>
      <c r="AS51" s="18">
        <f t="shared" si="13"/>
        <v>12.438989639282227</v>
      </c>
      <c r="AT51" s="18">
        <f t="shared" si="14"/>
        <v>11.590672492980957</v>
      </c>
      <c r="AU51" s="18">
        <f t="shared" si="15"/>
        <v>8.8971900939941406</v>
      </c>
      <c r="AV51" s="18">
        <f t="shared" si="16"/>
        <v>6.6835155487060547</v>
      </c>
      <c r="AW51" s="18">
        <f t="shared" si="17"/>
        <v>10.068520545959473</v>
      </c>
      <c r="AX51" s="18"/>
      <c r="BI51" s="18">
        <f t="shared" si="18"/>
        <v>2.4032669067382812</v>
      </c>
      <c r="BJ51" s="18">
        <f t="shared" si="19"/>
        <v>-6.5568923950195312E-2</v>
      </c>
      <c r="BK51" s="18">
        <f t="shared" si="20"/>
        <v>1.612116813659668</v>
      </c>
      <c r="BL51" s="18">
        <f t="shared" si="21"/>
        <v>0.91814327239990234</v>
      </c>
      <c r="BM51" s="18">
        <f t="shared" si="22"/>
        <v>12.438989639282227</v>
      </c>
      <c r="BN51" s="18">
        <f t="shared" si="23"/>
        <v>11.590672492980957</v>
      </c>
      <c r="BO51" s="18">
        <f t="shared" si="24"/>
        <v>8.8971900939941406</v>
      </c>
      <c r="BP51" s="18">
        <f t="shared" si="25"/>
        <v>6.6835155487060547</v>
      </c>
      <c r="BQ51" s="18">
        <f t="shared" si="26"/>
        <v>10.068520545959473</v>
      </c>
    </row>
    <row r="52" spans="1:69" s="16" customFormat="1" ht="15">
      <c r="A52" s="12" t="s">
        <v>143</v>
      </c>
      <c r="B52" s="12">
        <v>116</v>
      </c>
      <c r="C52" s="12" t="s">
        <v>232</v>
      </c>
      <c r="D52" s="12" t="s">
        <v>233</v>
      </c>
      <c r="E52" s="49" t="s">
        <v>234</v>
      </c>
      <c r="F52" s="12"/>
      <c r="G52" s="12"/>
      <c r="H52" s="12" t="s">
        <v>235</v>
      </c>
      <c r="I52" s="12" t="s">
        <v>193</v>
      </c>
      <c r="J52" s="12">
        <v>66</v>
      </c>
      <c r="K52" s="12" t="s">
        <v>194</v>
      </c>
      <c r="L52" s="50">
        <v>45184</v>
      </c>
      <c r="M52" s="12"/>
      <c r="N52" s="12"/>
      <c r="O52" s="12">
        <v>19.18</v>
      </c>
      <c r="P52" s="12">
        <v>1.31</v>
      </c>
      <c r="Q52" s="12">
        <v>0.41</v>
      </c>
      <c r="R52" s="12">
        <v>30</v>
      </c>
      <c r="S52" s="12">
        <v>575.5</v>
      </c>
      <c r="T52" s="51">
        <v>28.770859718322754</v>
      </c>
      <c r="U52" s="51">
        <v>25.875930786132812</v>
      </c>
      <c r="V52" s="51" t="s">
        <v>195</v>
      </c>
      <c r="W52" s="51" t="s">
        <v>195</v>
      </c>
      <c r="X52" s="51">
        <v>29.083057403564453</v>
      </c>
      <c r="Y52" s="51">
        <v>25.824509620666504</v>
      </c>
      <c r="Z52" s="51">
        <v>25.531301498413086</v>
      </c>
      <c r="AA52" s="51">
        <v>24.855618476867676</v>
      </c>
      <c r="AB52" s="51">
        <v>26.313300132751465</v>
      </c>
      <c r="AC52" s="51">
        <v>25.551555633544922</v>
      </c>
      <c r="AD52" s="51">
        <v>40</v>
      </c>
      <c r="AE52" s="51">
        <v>27.471936225891113</v>
      </c>
      <c r="AF52" s="51">
        <v>40</v>
      </c>
      <c r="AG52" s="51">
        <v>25.874608039855957</v>
      </c>
      <c r="AH52" s="51">
        <v>34.651979446411133</v>
      </c>
      <c r="AI52" s="51">
        <v>25.781804084777832</v>
      </c>
      <c r="AJ52" s="51">
        <v>36.812797546386719</v>
      </c>
      <c r="AK52" s="51">
        <v>25.936093330383301</v>
      </c>
      <c r="AL52" s="51">
        <v>39.271156311035156</v>
      </c>
      <c r="AM52" s="51">
        <v>25.785976409912109</v>
      </c>
      <c r="AO52" s="18">
        <f t="shared" si="9"/>
        <v>2.8949289321899414</v>
      </c>
      <c r="AP52" s="18">
        <f t="shared" si="10"/>
        <v>3.2585477828979492</v>
      </c>
      <c r="AQ52" s="18">
        <f t="shared" si="11"/>
        <v>0.67568302154541016</v>
      </c>
      <c r="AR52" s="18">
        <f t="shared" si="12"/>
        <v>0.76174449920654297</v>
      </c>
      <c r="AS52" s="18">
        <f t="shared" si="13"/>
        <v>12.528063774108887</v>
      </c>
      <c r="AT52" s="18">
        <f t="shared" si="14"/>
        <v>14.125391960144043</v>
      </c>
      <c r="AU52" s="18">
        <f t="shared" si="15"/>
        <v>8.8701753616333008</v>
      </c>
      <c r="AV52" s="18">
        <f t="shared" si="16"/>
        <v>10.876704216003418</v>
      </c>
      <c r="AW52" s="18">
        <f t="shared" si="17"/>
        <v>13.485179901123047</v>
      </c>
      <c r="AX52" s="18"/>
      <c r="BI52" s="18">
        <f t="shared" si="18"/>
        <v>2.8949289321899414</v>
      </c>
      <c r="BJ52" s="18">
        <f t="shared" si="19"/>
        <v>3.2585477828979492</v>
      </c>
      <c r="BK52" s="18">
        <f t="shared" si="20"/>
        <v>0.67568302154541016</v>
      </c>
      <c r="BL52" s="18">
        <f t="shared" si="21"/>
        <v>0.76174449920654297</v>
      </c>
      <c r="BM52" s="18">
        <f t="shared" si="22"/>
        <v>12.528063774108887</v>
      </c>
      <c r="BN52" s="18">
        <f t="shared" si="23"/>
        <v>14.125391960144043</v>
      </c>
      <c r="BO52" s="18">
        <f t="shared" si="24"/>
        <v>8.8701753616333008</v>
      </c>
      <c r="BP52" s="18">
        <f t="shared" si="25"/>
        <v>10.876704216003418</v>
      </c>
      <c r="BQ52" s="18">
        <f t="shared" si="26"/>
        <v>13.485179901123047</v>
      </c>
    </row>
    <row r="53" spans="1:69" s="16" customFormat="1" ht="15">
      <c r="A53" s="12" t="s">
        <v>143</v>
      </c>
      <c r="B53" s="12">
        <v>117</v>
      </c>
      <c r="C53" s="12" t="s">
        <v>236</v>
      </c>
      <c r="D53" s="12" t="s">
        <v>233</v>
      </c>
      <c r="E53" s="49" t="s">
        <v>234</v>
      </c>
      <c r="F53" s="12"/>
      <c r="G53" s="12"/>
      <c r="H53" s="12" t="s">
        <v>237</v>
      </c>
      <c r="I53" s="12" t="s">
        <v>193</v>
      </c>
      <c r="J53" s="12">
        <v>66</v>
      </c>
      <c r="K53" s="12" t="s">
        <v>194</v>
      </c>
      <c r="L53" s="50">
        <v>45184</v>
      </c>
      <c r="M53" s="12"/>
      <c r="N53" s="12"/>
      <c r="O53" s="12">
        <v>24.48</v>
      </c>
      <c r="P53" s="12">
        <v>1.31</v>
      </c>
      <c r="Q53" s="12">
        <v>0.42</v>
      </c>
      <c r="R53" s="12">
        <v>30</v>
      </c>
      <c r="S53" s="12">
        <v>734.4</v>
      </c>
      <c r="T53" s="51">
        <v>30.168237686157227</v>
      </c>
      <c r="U53" s="51">
        <v>25.900570869445801</v>
      </c>
      <c r="V53" s="51" t="s">
        <v>195</v>
      </c>
      <c r="W53" s="51" t="s">
        <v>195</v>
      </c>
      <c r="X53" s="51">
        <v>30.786911964416504</v>
      </c>
      <c r="Y53" s="51">
        <v>25.882349967956543</v>
      </c>
      <c r="Z53" s="51">
        <v>26.140146255493164</v>
      </c>
      <c r="AA53" s="51">
        <v>25.03242015838623</v>
      </c>
      <c r="AB53" s="51">
        <v>26.648980140686035</v>
      </c>
      <c r="AC53" s="51">
        <v>25.705477714538574</v>
      </c>
      <c r="AD53" s="51">
        <v>40</v>
      </c>
      <c r="AE53" s="51">
        <v>27.672981262207031</v>
      </c>
      <c r="AF53" s="51">
        <v>40</v>
      </c>
      <c r="AG53" s="51">
        <v>25.944517135620117</v>
      </c>
      <c r="AH53" s="51">
        <v>35.18931770324707</v>
      </c>
      <c r="AI53" s="51">
        <v>25.915143966674805</v>
      </c>
      <c r="AJ53" s="51">
        <v>38.579389572143555</v>
      </c>
      <c r="AK53" s="51">
        <v>25.965847969055176</v>
      </c>
      <c r="AL53" s="51">
        <v>39.854108810424805</v>
      </c>
      <c r="AM53" s="51">
        <v>25.861982345581055</v>
      </c>
      <c r="AO53" s="18">
        <f t="shared" si="9"/>
        <v>4.2676668167114258</v>
      </c>
      <c r="AP53" s="18">
        <f t="shared" si="10"/>
        <v>4.9045619964599609</v>
      </c>
      <c r="AQ53" s="18">
        <f t="shared" si="11"/>
        <v>1.1077260971069336</v>
      </c>
      <c r="AR53" s="18">
        <f t="shared" si="12"/>
        <v>0.94350242614746094</v>
      </c>
      <c r="AS53" s="18">
        <f t="shared" si="13"/>
        <v>12.327018737792969</v>
      </c>
      <c r="AT53" s="18">
        <f t="shared" si="14"/>
        <v>14.055482864379883</v>
      </c>
      <c r="AU53" s="18">
        <f t="shared" si="15"/>
        <v>9.2741737365722656</v>
      </c>
      <c r="AV53" s="18">
        <f t="shared" si="16"/>
        <v>12.613541603088379</v>
      </c>
      <c r="AW53" s="18">
        <f t="shared" si="17"/>
        <v>13.99212646484375</v>
      </c>
      <c r="AX53" s="18"/>
      <c r="BI53" s="18">
        <f t="shared" si="18"/>
        <v>4.2676668167114258</v>
      </c>
      <c r="BJ53" s="18">
        <f t="shared" si="19"/>
        <v>4.9045619964599609</v>
      </c>
      <c r="BK53" s="18">
        <f t="shared" si="20"/>
        <v>1.1077260971069336</v>
      </c>
      <c r="BL53" s="18">
        <f t="shared" si="21"/>
        <v>0.94350242614746094</v>
      </c>
      <c r="BM53" s="18">
        <f t="shared" si="22"/>
        <v>12.327018737792969</v>
      </c>
      <c r="BN53" s="18">
        <f t="shared" si="23"/>
        <v>14.055482864379883</v>
      </c>
      <c r="BO53" s="18">
        <f t="shared" si="24"/>
        <v>9.2741737365722656</v>
      </c>
      <c r="BP53" s="18">
        <f t="shared" si="25"/>
        <v>12.613541603088379</v>
      </c>
      <c r="BQ53" s="18">
        <f t="shared" si="26"/>
        <v>13.99212646484375</v>
      </c>
    </row>
    <row r="54" spans="1:69" s="57" customFormat="1" ht="15">
      <c r="A54" s="53" t="s">
        <v>143</v>
      </c>
      <c r="B54" s="53">
        <v>118</v>
      </c>
      <c r="C54" s="53" t="s">
        <v>189</v>
      </c>
      <c r="D54" s="53" t="s">
        <v>238</v>
      </c>
      <c r="E54" s="54" t="s">
        <v>239</v>
      </c>
      <c r="F54" s="53"/>
      <c r="G54" s="53"/>
      <c r="H54" s="53" t="s">
        <v>240</v>
      </c>
      <c r="I54" s="53" t="s">
        <v>241</v>
      </c>
      <c r="J54" s="53">
        <v>71</v>
      </c>
      <c r="K54" s="53" t="s">
        <v>194</v>
      </c>
      <c r="L54" s="55">
        <v>44362</v>
      </c>
      <c r="M54" s="53"/>
      <c r="N54" s="53"/>
      <c r="O54" s="53">
        <v>16.39</v>
      </c>
      <c r="P54" s="53">
        <v>1.27</v>
      </c>
      <c r="Q54" s="53">
        <v>0.4</v>
      </c>
      <c r="R54" s="53">
        <v>30</v>
      </c>
      <c r="S54" s="53">
        <v>491.7</v>
      </c>
      <c r="T54" s="56">
        <v>28.926263809204102</v>
      </c>
      <c r="U54" s="56">
        <v>25.683085441589355</v>
      </c>
      <c r="V54" s="56" t="s">
        <v>195</v>
      </c>
      <c r="W54" s="56" t="s">
        <v>195</v>
      </c>
      <c r="X54" s="56">
        <v>29.033700942993164</v>
      </c>
      <c r="Y54" s="56">
        <v>25.754510879516602</v>
      </c>
      <c r="Z54" s="56">
        <v>28.728985786437988</v>
      </c>
      <c r="AA54" s="56">
        <v>25.443032264709473</v>
      </c>
      <c r="AB54" s="56">
        <v>28.704724311828613</v>
      </c>
      <c r="AC54" s="56">
        <v>25.751280784606934</v>
      </c>
      <c r="AD54" s="56">
        <v>40</v>
      </c>
      <c r="AE54" s="56">
        <v>27.503037452697754</v>
      </c>
      <c r="AF54" s="56">
        <v>40</v>
      </c>
      <c r="AG54" s="56">
        <v>25.869879722595215</v>
      </c>
      <c r="AH54" s="56">
        <v>38.994850158691406</v>
      </c>
      <c r="AI54" s="56">
        <v>25.765411376953125</v>
      </c>
      <c r="AJ54" s="56">
        <v>38.05341911315918</v>
      </c>
      <c r="AK54" s="56">
        <v>25.850404739379883</v>
      </c>
      <c r="AL54" s="56">
        <v>39.56071662902832</v>
      </c>
      <c r="AM54" s="56">
        <v>25.679933547973633</v>
      </c>
      <c r="AO54" s="58">
        <f t="shared" si="9"/>
        <v>3.2431783676147461</v>
      </c>
      <c r="AP54" s="58">
        <f t="shared" si="10"/>
        <v>3.2791900634765625</v>
      </c>
      <c r="AQ54" s="58">
        <f t="shared" si="11"/>
        <v>3.2859535217285156</v>
      </c>
      <c r="AR54" s="58">
        <f t="shared" si="12"/>
        <v>2.9534435272216797</v>
      </c>
      <c r="AS54" s="58">
        <f t="shared" si="13"/>
        <v>12.496962547302246</v>
      </c>
      <c r="AT54" s="58">
        <f t="shared" si="14"/>
        <v>14.130120277404785</v>
      </c>
      <c r="AU54" s="58">
        <f t="shared" si="15"/>
        <v>13.229438781738281</v>
      </c>
      <c r="AV54" s="58">
        <f t="shared" si="16"/>
        <v>12.203014373779297</v>
      </c>
      <c r="AW54" s="58">
        <f t="shared" si="17"/>
        <v>13.880783081054688</v>
      </c>
      <c r="AX54" s="58"/>
      <c r="BI54" s="58">
        <f t="shared" si="18"/>
        <v>3.2431783676147461</v>
      </c>
      <c r="BJ54" s="58">
        <f t="shared" si="19"/>
        <v>3.2791900634765625</v>
      </c>
      <c r="BK54" s="58">
        <f t="shared" si="20"/>
        <v>3.2859535217285156</v>
      </c>
      <c r="BL54" s="58">
        <f t="shared" si="21"/>
        <v>2.9534435272216797</v>
      </c>
      <c r="BM54" s="58">
        <f t="shared" si="22"/>
        <v>12.496962547302246</v>
      </c>
      <c r="BN54" s="58">
        <f t="shared" si="23"/>
        <v>14.130120277404785</v>
      </c>
      <c r="BO54" s="58">
        <f t="shared" si="24"/>
        <v>13.229438781738281</v>
      </c>
      <c r="BP54" s="58">
        <f t="shared" si="25"/>
        <v>12.203014373779297</v>
      </c>
      <c r="BQ54" s="58">
        <f t="shared" si="26"/>
        <v>13.880783081054688</v>
      </c>
    </row>
    <row r="55" spans="1:69" s="57" customFormat="1" ht="15">
      <c r="A55" s="53" t="s">
        <v>143</v>
      </c>
      <c r="B55" s="53">
        <v>119</v>
      </c>
      <c r="C55" s="53" t="s">
        <v>242</v>
      </c>
      <c r="D55" s="53" t="s">
        <v>238</v>
      </c>
      <c r="E55" s="54" t="s">
        <v>239</v>
      </c>
      <c r="F55" s="53"/>
      <c r="G55" s="53"/>
      <c r="H55" s="53" t="s">
        <v>243</v>
      </c>
      <c r="I55" s="53" t="s">
        <v>241</v>
      </c>
      <c r="J55" s="53">
        <v>71</v>
      </c>
      <c r="K55" s="53" t="s">
        <v>194</v>
      </c>
      <c r="L55" s="55">
        <v>44362</v>
      </c>
      <c r="M55" s="53"/>
      <c r="N55" s="53"/>
      <c r="O55" s="53">
        <v>15.31</v>
      </c>
      <c r="P55" s="53">
        <v>1.29</v>
      </c>
      <c r="Q55" s="53">
        <v>0.38</v>
      </c>
      <c r="R55" s="53">
        <v>30</v>
      </c>
      <c r="S55" s="53">
        <v>459.4</v>
      </c>
      <c r="T55" s="56">
        <v>30.7138671875</v>
      </c>
      <c r="U55" s="56">
        <v>26.111650466918945</v>
      </c>
      <c r="V55" s="56" t="s">
        <v>195</v>
      </c>
      <c r="W55" s="56" t="s">
        <v>195</v>
      </c>
      <c r="X55" s="56">
        <v>30.386059761047363</v>
      </c>
      <c r="Y55" s="56">
        <v>26.170022010803223</v>
      </c>
      <c r="Z55" s="56">
        <v>29.055211067199707</v>
      </c>
      <c r="AA55" s="56">
        <v>25.903278350830078</v>
      </c>
      <c r="AB55" s="56">
        <v>28.714556694030762</v>
      </c>
      <c r="AC55" s="56">
        <v>26.102410316467285</v>
      </c>
      <c r="AD55" s="56">
        <v>40</v>
      </c>
      <c r="AE55" s="56">
        <v>27.795977592468262</v>
      </c>
      <c r="AF55" s="56">
        <v>40</v>
      </c>
      <c r="AG55" s="56">
        <v>26.142746925354004</v>
      </c>
      <c r="AH55" s="56">
        <v>38.673877716064453</v>
      </c>
      <c r="AI55" s="56">
        <v>26.191648483276367</v>
      </c>
      <c r="AJ55" s="56">
        <v>40</v>
      </c>
      <c r="AK55" s="56">
        <v>26.180964469909668</v>
      </c>
      <c r="AL55" s="56">
        <v>39.222053527832031</v>
      </c>
      <c r="AM55" s="56">
        <v>26.229273796081543</v>
      </c>
      <c r="AO55" s="58">
        <f t="shared" si="9"/>
        <v>4.6022167205810547</v>
      </c>
      <c r="AP55" s="58">
        <f t="shared" si="10"/>
        <v>4.2160377502441406</v>
      </c>
      <c r="AQ55" s="58">
        <f t="shared" si="11"/>
        <v>3.1519327163696289</v>
      </c>
      <c r="AR55" s="58">
        <f t="shared" si="12"/>
        <v>2.6121463775634766</v>
      </c>
      <c r="AS55" s="58">
        <f t="shared" si="13"/>
        <v>12.204022407531738</v>
      </c>
      <c r="AT55" s="58">
        <f t="shared" si="14"/>
        <v>13.857253074645996</v>
      </c>
      <c r="AU55" s="58">
        <f t="shared" si="15"/>
        <v>12.482229232788086</v>
      </c>
      <c r="AV55" s="58">
        <f t="shared" si="16"/>
        <v>13.819035530090332</v>
      </c>
      <c r="AW55" s="58">
        <f t="shared" si="17"/>
        <v>12.992779731750488</v>
      </c>
      <c r="AX55" s="58"/>
      <c r="BI55" s="58">
        <f t="shared" si="18"/>
        <v>4.6022167205810547</v>
      </c>
      <c r="BJ55" s="58">
        <f t="shared" si="19"/>
        <v>4.2160377502441406</v>
      </c>
      <c r="BK55" s="58">
        <f t="shared" si="20"/>
        <v>3.1519327163696289</v>
      </c>
      <c r="BL55" s="58">
        <f t="shared" si="21"/>
        <v>2.6121463775634766</v>
      </c>
      <c r="BM55" s="58">
        <f t="shared" si="22"/>
        <v>12.204022407531738</v>
      </c>
      <c r="BN55" s="58">
        <f t="shared" si="23"/>
        <v>13.857253074645996</v>
      </c>
      <c r="BO55" s="58">
        <f t="shared" si="24"/>
        <v>12.482229232788086</v>
      </c>
      <c r="BP55" s="58">
        <f t="shared" si="25"/>
        <v>13.819035530090332</v>
      </c>
      <c r="BQ55" s="58">
        <f t="shared" si="26"/>
        <v>12.992779731750488</v>
      </c>
    </row>
    <row r="56" spans="1:69" s="57" customFormat="1" ht="15">
      <c r="A56" s="53" t="s">
        <v>143</v>
      </c>
      <c r="B56" s="53">
        <v>120</v>
      </c>
      <c r="C56" s="53" t="s">
        <v>196</v>
      </c>
      <c r="D56" s="53" t="s">
        <v>113</v>
      </c>
      <c r="E56" s="54" t="s">
        <v>244</v>
      </c>
      <c r="F56" s="53"/>
      <c r="G56" s="53"/>
      <c r="H56" s="53" t="s">
        <v>245</v>
      </c>
      <c r="I56" s="53" t="s">
        <v>241</v>
      </c>
      <c r="J56" s="53">
        <v>82</v>
      </c>
      <c r="K56" s="53" t="s">
        <v>194</v>
      </c>
      <c r="L56" s="55">
        <v>44508</v>
      </c>
      <c r="M56" s="53"/>
      <c r="N56" s="53"/>
      <c r="O56" s="53">
        <v>12.61</v>
      </c>
      <c r="P56" s="53">
        <v>1.22</v>
      </c>
      <c r="Q56" s="53">
        <v>0.36</v>
      </c>
      <c r="R56" s="53">
        <v>30</v>
      </c>
      <c r="S56" s="53">
        <v>378.4</v>
      </c>
      <c r="T56" s="56">
        <v>29.766219139099121</v>
      </c>
      <c r="U56" s="56">
        <v>25.725479125976562</v>
      </c>
      <c r="V56" s="56" t="s">
        <v>195</v>
      </c>
      <c r="W56" s="56" t="s">
        <v>195</v>
      </c>
      <c r="X56" s="56">
        <v>29.205352783203125</v>
      </c>
      <c r="Y56" s="56">
        <v>25.785594940185547</v>
      </c>
      <c r="Z56" s="56">
        <v>26.798136711120605</v>
      </c>
      <c r="AA56" s="56">
        <v>25.070278167724609</v>
      </c>
      <c r="AB56" s="56">
        <v>25.804750442504883</v>
      </c>
      <c r="AC56" s="56">
        <v>25.449786186218262</v>
      </c>
      <c r="AD56" s="56">
        <v>40</v>
      </c>
      <c r="AE56" s="56">
        <v>27.40590763092041</v>
      </c>
      <c r="AF56" s="56">
        <v>40</v>
      </c>
      <c r="AG56" s="56">
        <v>25.770045280456543</v>
      </c>
      <c r="AH56" s="56">
        <v>33.607248306274414</v>
      </c>
      <c r="AI56" s="56">
        <v>25.71898365020752</v>
      </c>
      <c r="AJ56" s="56">
        <v>37.853763580322266</v>
      </c>
      <c r="AK56" s="56">
        <v>25.874814033508301</v>
      </c>
      <c r="AL56" s="56">
        <v>38.030477523803711</v>
      </c>
      <c r="AM56" s="56">
        <v>25.854662895202637</v>
      </c>
      <c r="AO56" s="58">
        <f t="shared" si="9"/>
        <v>4.0407400131225586</v>
      </c>
      <c r="AP56" s="58">
        <f t="shared" si="10"/>
        <v>3.4197578430175781</v>
      </c>
      <c r="AQ56" s="58">
        <f t="shared" si="11"/>
        <v>1.7278585433959961</v>
      </c>
      <c r="AR56" s="58">
        <f t="shared" si="12"/>
        <v>0.35496425628662109</v>
      </c>
      <c r="AS56" s="58">
        <f t="shared" si="13"/>
        <v>12.59409236907959</v>
      </c>
      <c r="AT56" s="58">
        <f t="shared" si="14"/>
        <v>14.229954719543457</v>
      </c>
      <c r="AU56" s="58">
        <f t="shared" si="15"/>
        <v>7.8882646560668945</v>
      </c>
      <c r="AV56" s="58">
        <f t="shared" si="16"/>
        <v>11.978949546813965</v>
      </c>
      <c r="AW56" s="58">
        <f t="shared" si="17"/>
        <v>12.175814628601074</v>
      </c>
      <c r="AX56" s="58"/>
      <c r="BI56" s="58">
        <f t="shared" si="18"/>
        <v>4.0407400131225586</v>
      </c>
      <c r="BJ56" s="58">
        <f t="shared" si="19"/>
        <v>3.4197578430175781</v>
      </c>
      <c r="BK56" s="58">
        <f t="shared" si="20"/>
        <v>1.7278585433959961</v>
      </c>
      <c r="BL56" s="58">
        <f t="shared" si="21"/>
        <v>0.35496425628662109</v>
      </c>
      <c r="BM56" s="58">
        <f t="shared" si="22"/>
        <v>12.59409236907959</v>
      </c>
      <c r="BN56" s="58">
        <f t="shared" si="23"/>
        <v>14.229954719543457</v>
      </c>
      <c r="BO56" s="58">
        <f t="shared" si="24"/>
        <v>7.8882646560668945</v>
      </c>
      <c r="BP56" s="58">
        <f t="shared" si="25"/>
        <v>11.978949546813965</v>
      </c>
      <c r="BQ56" s="58">
        <f t="shared" si="26"/>
        <v>12.175814628601074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2025-10-04T05:29:43Z</dcterms:created>
  <dcterms:modified xsi:type="dcterms:W3CDTF">2025-10-15T07:41:22Z</dcterms:modified>
</cp:coreProperties>
</file>